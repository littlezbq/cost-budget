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rry\Desktop\"/>
    </mc:Choice>
  </mc:AlternateContent>
  <xr:revisionPtr revIDLastSave="0" documentId="13_ncr:1_{8AD9026F-AEB9-477E-8927-4492633A62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Sheet1!$A$1:$AF$110</definedName>
    <definedName name="_Toc142660792" localSheetId="0">Sheet1!#REF!</definedName>
    <definedName name="_Toc142660793" localSheetId="0">Sheet1!#REF!</definedName>
    <definedName name="_Toc142660798" localSheetId="0">Sheet1!#REF!</definedName>
    <definedName name="_Toc142660799" localSheetId="0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96" i="1" l="1"/>
  <c r="AL96" i="1"/>
  <c r="AM95" i="1"/>
  <c r="AL95" i="1"/>
  <c r="AM94" i="1"/>
  <c r="AL94" i="1"/>
  <c r="AM93" i="1"/>
  <c r="AL93" i="1"/>
  <c r="AM92" i="1"/>
  <c r="AL92" i="1"/>
  <c r="AM91" i="1"/>
  <c r="AL91" i="1"/>
  <c r="AM88" i="1"/>
  <c r="AL88" i="1"/>
  <c r="AM87" i="1"/>
  <c r="AL87" i="1"/>
  <c r="AM83" i="1"/>
  <c r="AL83" i="1"/>
  <c r="AM82" i="1"/>
  <c r="AL82" i="1"/>
  <c r="Y102" i="1" l="1"/>
  <c r="Y103" i="1"/>
  <c r="Y104" i="1"/>
  <c r="Y105" i="1"/>
  <c r="Y106" i="1"/>
  <c r="Y107" i="1"/>
  <c r="Y108" i="1"/>
  <c r="Y109" i="1"/>
  <c r="Y110" i="1"/>
  <c r="Y101" i="1"/>
  <c r="Y83" i="1"/>
  <c r="Y82" i="1"/>
  <c r="Y74" i="1"/>
  <c r="Y75" i="1"/>
  <c r="Y73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1" i="1"/>
  <c r="Y80" i="1"/>
  <c r="Y79" i="1"/>
  <c r="Y78" i="1"/>
  <c r="Y77" i="1"/>
  <c r="Y76" i="1"/>
  <c r="Y72" i="1"/>
  <c r="Y71" i="1"/>
  <c r="Y70" i="1"/>
  <c r="Y57" i="1"/>
  <c r="Y56" i="1"/>
  <c r="Y55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  <c r="E82" i="1" l="1"/>
  <c r="E83" i="1"/>
  <c r="C84" i="1" l="1"/>
  <c r="E84" i="1" s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3" i="1"/>
  <c r="C4" i="1" l="1"/>
  <c r="E90" i="1"/>
  <c r="E89" i="1"/>
  <c r="C55" i="1" l="1"/>
  <c r="E92" i="1"/>
  <c r="E93" i="1"/>
  <c r="E94" i="1"/>
  <c r="E95" i="1"/>
  <c r="E96" i="1"/>
  <c r="E91" i="1"/>
  <c r="D75" i="1" l="1"/>
  <c r="D74" i="1"/>
  <c r="D73" i="1"/>
  <c r="C75" i="1"/>
  <c r="C74" i="1"/>
  <c r="C73" i="1"/>
  <c r="D88" i="1"/>
  <c r="C88" i="1"/>
  <c r="D87" i="1"/>
  <c r="C87" i="1"/>
  <c r="D86" i="1"/>
  <c r="C86" i="1"/>
  <c r="D85" i="1"/>
  <c r="C85" i="1"/>
  <c r="D78" i="1"/>
  <c r="C78" i="1"/>
  <c r="D77" i="1"/>
  <c r="C77" i="1"/>
  <c r="D76" i="1"/>
  <c r="C76" i="1"/>
  <c r="D81" i="1"/>
  <c r="C81" i="1"/>
  <c r="C80" i="1"/>
  <c r="D80" i="1"/>
  <c r="D79" i="1"/>
  <c r="C79" i="1"/>
  <c r="E72" i="1"/>
  <c r="D72" i="1"/>
  <c r="E71" i="1"/>
  <c r="D71" i="1"/>
  <c r="D70" i="1"/>
  <c r="E70" i="1"/>
  <c r="D69" i="1"/>
  <c r="C69" i="1"/>
  <c r="D68" i="1"/>
  <c r="C68" i="1"/>
  <c r="D67" i="1"/>
  <c r="C67" i="1"/>
  <c r="D66" i="1"/>
  <c r="C66" i="1"/>
  <c r="D65" i="1"/>
  <c r="C65" i="1"/>
  <c r="D64" i="1"/>
  <c r="C64" i="1"/>
  <c r="D63" i="1"/>
  <c r="C63" i="1"/>
  <c r="D62" i="1"/>
  <c r="C62" i="1"/>
  <c r="D61" i="1"/>
  <c r="C61" i="1"/>
  <c r="D60" i="1"/>
  <c r="C60" i="1"/>
  <c r="D59" i="1"/>
  <c r="C59" i="1"/>
  <c r="D58" i="1"/>
  <c r="C58" i="1"/>
  <c r="D57" i="1"/>
  <c r="D56" i="1"/>
  <c r="D55" i="1"/>
  <c r="E55" i="1" s="1"/>
  <c r="D54" i="1"/>
  <c r="E81" i="1" l="1"/>
  <c r="E76" i="1"/>
  <c r="E78" i="1"/>
  <c r="E86" i="1"/>
  <c r="E59" i="1"/>
  <c r="E61" i="1"/>
  <c r="E69" i="1"/>
  <c r="C71" i="1"/>
  <c r="E73" i="1"/>
  <c r="E62" i="1"/>
  <c r="E87" i="1"/>
  <c r="E74" i="1"/>
  <c r="E66" i="1"/>
  <c r="E68" i="1"/>
  <c r="E88" i="1"/>
  <c r="C70" i="1"/>
  <c r="C72" i="1"/>
  <c r="E75" i="1"/>
  <c r="E79" i="1"/>
  <c r="E77" i="1"/>
  <c r="E85" i="1"/>
  <c r="E64" i="1"/>
  <c r="E58" i="1"/>
  <c r="E60" i="1"/>
  <c r="E65" i="1"/>
  <c r="E67" i="1"/>
  <c r="E80" i="1"/>
  <c r="E63" i="1"/>
  <c r="C57" i="1"/>
  <c r="E57" i="1" s="1"/>
  <c r="C56" i="1"/>
  <c r="E56" i="1" s="1"/>
  <c r="C54" i="1"/>
  <c r="E54" i="1" s="1"/>
  <c r="E49" i="1"/>
  <c r="E50" i="1"/>
  <c r="E52" i="1"/>
  <c r="E53" i="1"/>
  <c r="C51" i="1"/>
  <c r="E51" i="1" s="1"/>
  <c r="D48" i="1" l="1"/>
  <c r="E48" i="1" s="1"/>
  <c r="D47" i="1"/>
  <c r="E47" i="1" s="1"/>
  <c r="D46" i="1"/>
  <c r="E46" i="1" s="1"/>
  <c r="D45" i="1"/>
  <c r="E45" i="1" s="1"/>
  <c r="D44" i="1"/>
  <c r="E44" i="1" s="1"/>
  <c r="D43" i="1"/>
  <c r="E43" i="1" s="1"/>
  <c r="D42" i="1"/>
  <c r="E42" i="1" s="1"/>
  <c r="D41" i="1"/>
  <c r="E41" i="1" s="1"/>
  <c r="D40" i="1"/>
  <c r="E40" i="1" s="1"/>
  <c r="D39" i="1"/>
  <c r="E39" i="1" s="1"/>
  <c r="D38" i="1"/>
  <c r="E38" i="1" s="1"/>
  <c r="D37" i="1"/>
  <c r="E37" i="1" s="1"/>
  <c r="E30" i="1" l="1"/>
  <c r="E31" i="1"/>
  <c r="E35" i="1"/>
  <c r="E36" i="1"/>
  <c r="C32" i="1"/>
  <c r="D33" i="1"/>
  <c r="D32" i="1"/>
  <c r="C33" i="1"/>
  <c r="C34" i="1"/>
  <c r="E34" i="1" s="1"/>
  <c r="E29" i="1"/>
  <c r="E14" i="1"/>
  <c r="E15" i="1"/>
  <c r="E16" i="1"/>
  <c r="E17" i="1"/>
  <c r="E18" i="1"/>
  <c r="N18" i="1" s="1"/>
  <c r="E19" i="1"/>
  <c r="E20" i="1"/>
  <c r="E21" i="1"/>
  <c r="E22" i="1"/>
  <c r="E23" i="1"/>
  <c r="E24" i="1"/>
  <c r="E25" i="1"/>
  <c r="E26" i="1"/>
  <c r="E27" i="1"/>
  <c r="E28" i="1"/>
  <c r="E9" i="1"/>
  <c r="E10" i="1"/>
  <c r="E11" i="1"/>
  <c r="E12" i="1"/>
  <c r="C8" i="1"/>
  <c r="E8" i="1" s="1"/>
  <c r="D7" i="1"/>
  <c r="C7" i="1"/>
  <c r="C6" i="1"/>
  <c r="E6" i="1" s="1"/>
  <c r="C5" i="1"/>
  <c r="E5" i="1" s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F12" i="1"/>
  <c r="G12" i="1"/>
  <c r="F13" i="1"/>
  <c r="G13" i="1"/>
  <c r="F14" i="1"/>
  <c r="G14" i="1"/>
  <c r="F15" i="1"/>
  <c r="G15" i="1"/>
  <c r="F16" i="1"/>
  <c r="G16" i="1"/>
  <c r="F17" i="1"/>
  <c r="G17" i="1"/>
  <c r="F18" i="1"/>
  <c r="G18" i="1"/>
  <c r="F19" i="1"/>
  <c r="G19" i="1"/>
  <c r="F20" i="1"/>
  <c r="G20" i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E4" i="1"/>
  <c r="F3" i="1"/>
  <c r="G3" i="1"/>
  <c r="G2" i="1"/>
  <c r="F2" i="1"/>
  <c r="C3" i="1"/>
  <c r="C2" i="1"/>
  <c r="N48" i="1" l="1"/>
  <c r="N38" i="1"/>
  <c r="N27" i="1"/>
  <c r="N26" i="1"/>
  <c r="N25" i="1"/>
  <c r="N39" i="1"/>
  <c r="N37" i="1"/>
  <c r="N40" i="1"/>
  <c r="N23" i="1"/>
  <c r="N30" i="1"/>
  <c r="N22" i="1"/>
  <c r="N46" i="1"/>
  <c r="N45" i="1"/>
  <c r="N24" i="1"/>
  <c r="N4" i="1"/>
  <c r="N21" i="1"/>
  <c r="N20" i="1"/>
  <c r="N31" i="1"/>
  <c r="N19" i="1"/>
  <c r="M82" i="1"/>
  <c r="N82" i="1"/>
  <c r="M36" i="1"/>
  <c r="M43" i="1"/>
  <c r="M27" i="1"/>
  <c r="M35" i="1"/>
  <c r="M7" i="1"/>
  <c r="M34" i="1"/>
  <c r="M41" i="1"/>
  <c r="M8" i="1"/>
  <c r="M101" i="1"/>
  <c r="N101" i="1"/>
  <c r="M26" i="1"/>
  <c r="M60" i="1"/>
  <c r="N60" i="1"/>
  <c r="M69" i="1"/>
  <c r="N69" i="1"/>
  <c r="M108" i="1"/>
  <c r="N108" i="1"/>
  <c r="M68" i="1"/>
  <c r="N68" i="1"/>
  <c r="M97" i="1"/>
  <c r="N97" i="1"/>
  <c r="M39" i="1"/>
  <c r="M86" i="1"/>
  <c r="N86" i="1"/>
  <c r="M12" i="1"/>
  <c r="M75" i="1"/>
  <c r="N75" i="1"/>
  <c r="M65" i="1"/>
  <c r="N65" i="1"/>
  <c r="M47" i="1"/>
  <c r="M20" i="1"/>
  <c r="M11" i="1"/>
  <c r="N12" i="1"/>
  <c r="M44" i="1"/>
  <c r="N35" i="1"/>
  <c r="M109" i="1"/>
  <c r="N109" i="1"/>
  <c r="M51" i="1"/>
  <c r="N51" i="1"/>
  <c r="M88" i="1"/>
  <c r="N88" i="1"/>
  <c r="M40" i="1"/>
  <c r="M14" i="1"/>
  <c r="N17" i="1"/>
  <c r="M87" i="1"/>
  <c r="N87" i="1"/>
  <c r="M57" i="1"/>
  <c r="N57" i="1"/>
  <c r="M22" i="1"/>
  <c r="N15" i="1"/>
  <c r="M66" i="1"/>
  <c r="N66" i="1"/>
  <c r="M30" i="1"/>
  <c r="N11" i="1"/>
  <c r="N29" i="1"/>
  <c r="M72" i="1"/>
  <c r="N72" i="1"/>
  <c r="M17" i="1"/>
  <c r="M81" i="1"/>
  <c r="N81" i="1"/>
  <c r="M100" i="1"/>
  <c r="N100" i="1"/>
  <c r="M52" i="1"/>
  <c r="N52" i="1"/>
  <c r="M6" i="1"/>
  <c r="M79" i="1"/>
  <c r="N79" i="1"/>
  <c r="M5" i="1"/>
  <c r="M58" i="1"/>
  <c r="N58" i="1"/>
  <c r="M4" i="1"/>
  <c r="N5" i="1"/>
  <c r="M67" i="1"/>
  <c r="N67" i="1"/>
  <c r="N6" i="1"/>
  <c r="M106" i="1"/>
  <c r="N106" i="1"/>
  <c r="M85" i="1"/>
  <c r="N85" i="1"/>
  <c r="M104" i="1"/>
  <c r="N104" i="1"/>
  <c r="M94" i="1"/>
  <c r="N94" i="1"/>
  <c r="M84" i="1"/>
  <c r="N84" i="1"/>
  <c r="M74" i="1"/>
  <c r="N74" i="1"/>
  <c r="M64" i="1"/>
  <c r="N64" i="1"/>
  <c r="M56" i="1"/>
  <c r="N56" i="1"/>
  <c r="M46" i="1"/>
  <c r="M38" i="1"/>
  <c r="M29" i="1"/>
  <c r="M19" i="1"/>
  <c r="M10" i="1"/>
  <c r="N10" i="1"/>
  <c r="N34" i="1"/>
  <c r="M102" i="1"/>
  <c r="N102" i="1"/>
  <c r="M54" i="1"/>
  <c r="N54" i="1"/>
  <c r="N36" i="1"/>
  <c r="M91" i="1"/>
  <c r="N91" i="1"/>
  <c r="M61" i="1"/>
  <c r="N61" i="1"/>
  <c r="M53" i="1"/>
  <c r="N53" i="1"/>
  <c r="M90" i="1"/>
  <c r="N90" i="1"/>
  <c r="M70" i="1"/>
  <c r="N70" i="1"/>
  <c r="M25" i="1"/>
  <c r="M89" i="1"/>
  <c r="N89" i="1"/>
  <c r="M24" i="1"/>
  <c r="N41" i="1"/>
  <c r="M98" i="1"/>
  <c r="N98" i="1"/>
  <c r="M78" i="1"/>
  <c r="N78" i="1"/>
  <c r="M32" i="1"/>
  <c r="M23" i="1"/>
  <c r="M77" i="1"/>
  <c r="N77" i="1"/>
  <c r="M49" i="1"/>
  <c r="N49" i="1"/>
  <c r="M13" i="1"/>
  <c r="N13" i="1"/>
  <c r="M96" i="1"/>
  <c r="N96" i="1"/>
  <c r="M48" i="1"/>
  <c r="N8" i="1"/>
  <c r="M105" i="1"/>
  <c r="N105" i="1"/>
  <c r="N9" i="1"/>
  <c r="N47" i="1"/>
  <c r="M92" i="1"/>
  <c r="N92" i="1"/>
  <c r="M62" i="1"/>
  <c r="N62" i="1"/>
  <c r="N3" i="1"/>
  <c r="M3" i="1"/>
  <c r="M71" i="1"/>
  <c r="N71" i="1"/>
  <c r="M16" i="1"/>
  <c r="M110" i="1"/>
  <c r="N110" i="1"/>
  <c r="M80" i="1"/>
  <c r="N80" i="1"/>
  <c r="M42" i="1"/>
  <c r="M15" i="1"/>
  <c r="N43" i="1"/>
  <c r="M99" i="1"/>
  <c r="N99" i="1"/>
  <c r="M59" i="1"/>
  <c r="N59" i="1"/>
  <c r="M33" i="1"/>
  <c r="N42" i="1"/>
  <c r="M50" i="1"/>
  <c r="N50" i="1"/>
  <c r="M107" i="1"/>
  <c r="N107" i="1"/>
  <c r="M31" i="1"/>
  <c r="N16" i="1"/>
  <c r="M76" i="1"/>
  <c r="N76" i="1"/>
  <c r="M21" i="1"/>
  <c r="N14" i="1"/>
  <c r="M95" i="1"/>
  <c r="N95" i="1"/>
  <c r="N2" i="1"/>
  <c r="M2" i="1"/>
  <c r="M103" i="1"/>
  <c r="N103" i="1"/>
  <c r="M93" i="1"/>
  <c r="N93" i="1"/>
  <c r="M83" i="1"/>
  <c r="N83" i="1"/>
  <c r="M73" i="1"/>
  <c r="N73" i="1"/>
  <c r="M63" i="1"/>
  <c r="N63" i="1"/>
  <c r="M55" i="1"/>
  <c r="N55" i="1"/>
  <c r="M45" i="1"/>
  <c r="M37" i="1"/>
  <c r="M28" i="1"/>
  <c r="M18" i="1"/>
  <c r="M9" i="1"/>
  <c r="N28" i="1"/>
  <c r="N44" i="1"/>
  <c r="E32" i="1"/>
  <c r="E7" i="1"/>
  <c r="E33" i="1"/>
  <c r="H10" i="1"/>
  <c r="J10" i="1" s="1"/>
  <c r="H108" i="1"/>
  <c r="I108" i="1" s="1"/>
  <c r="H99" i="1"/>
  <c r="J99" i="1" s="1"/>
  <c r="H94" i="1"/>
  <c r="J94" i="1" s="1"/>
  <c r="H88" i="1"/>
  <c r="J88" i="1" s="1"/>
  <c r="H85" i="1"/>
  <c r="J85" i="1" s="1"/>
  <c r="H79" i="1"/>
  <c r="J79" i="1" s="1"/>
  <c r="H63" i="1"/>
  <c r="J63" i="1" s="1"/>
  <c r="H60" i="1"/>
  <c r="J60" i="1" s="1"/>
  <c r="H57" i="1"/>
  <c r="I57" i="1" s="1"/>
  <c r="H56" i="1"/>
  <c r="J56" i="1" s="1"/>
  <c r="H53" i="1"/>
  <c r="J53" i="1" s="1"/>
  <c r="H47" i="1"/>
  <c r="J47" i="1" s="1"/>
  <c r="H41" i="1"/>
  <c r="J41" i="1" s="1"/>
  <c r="H45" i="1"/>
  <c r="J45" i="1" s="1"/>
  <c r="H39" i="1"/>
  <c r="J39" i="1" s="1"/>
  <c r="H38" i="1"/>
  <c r="J38" i="1" s="1"/>
  <c r="H2" i="1"/>
  <c r="I2" i="1" s="1"/>
  <c r="H107" i="1"/>
  <c r="J107" i="1" s="1"/>
  <c r="H104" i="1"/>
  <c r="I104" i="1" s="1"/>
  <c r="H101" i="1"/>
  <c r="J101" i="1" s="1"/>
  <c r="H93" i="1"/>
  <c r="J93" i="1" s="1"/>
  <c r="H90" i="1"/>
  <c r="I90" i="1" s="1"/>
  <c r="H87" i="1"/>
  <c r="J87" i="1" s="1"/>
  <c r="H23" i="1"/>
  <c r="J23" i="1" s="1"/>
  <c r="H84" i="1"/>
  <c r="J84" i="1" s="1"/>
  <c r="H81" i="1"/>
  <c r="I81" i="1" s="1"/>
  <c r="H78" i="1"/>
  <c r="I78" i="1" s="1"/>
  <c r="H46" i="1"/>
  <c r="I46" i="1" s="1"/>
  <c r="H43" i="1"/>
  <c r="J43" i="1" s="1"/>
  <c r="H28" i="1"/>
  <c r="J28" i="1" s="1"/>
  <c r="H16" i="1"/>
  <c r="I16" i="1" s="1"/>
  <c r="H12" i="1"/>
  <c r="J12" i="1" s="1"/>
  <c r="H35" i="1"/>
  <c r="I35" i="1" s="1"/>
  <c r="H31" i="1"/>
  <c r="J31" i="1" s="1"/>
  <c r="H30" i="1"/>
  <c r="J30" i="1" s="1"/>
  <c r="H37" i="1"/>
  <c r="J37" i="1" s="1"/>
  <c r="H92" i="1"/>
  <c r="I92" i="1" s="1"/>
  <c r="H24" i="1"/>
  <c r="J24" i="1" s="1"/>
  <c r="H110" i="1"/>
  <c r="I110" i="1" s="1"/>
  <c r="H3" i="1"/>
  <c r="I3" i="1" s="1"/>
  <c r="H100" i="1"/>
  <c r="J100" i="1" s="1"/>
  <c r="H74" i="1"/>
  <c r="J74" i="1" s="1"/>
  <c r="H71" i="1"/>
  <c r="J71" i="1" s="1"/>
  <c r="H14" i="1"/>
  <c r="J14" i="1" s="1"/>
  <c r="H18" i="1"/>
  <c r="J18" i="1" s="1"/>
  <c r="H22" i="1"/>
  <c r="J22" i="1" s="1"/>
  <c r="H19" i="1"/>
  <c r="J19" i="1" s="1"/>
  <c r="H70" i="1"/>
  <c r="I70" i="1" s="1"/>
  <c r="H67" i="1"/>
  <c r="J67" i="1" s="1"/>
  <c r="H64" i="1"/>
  <c r="I64" i="1" s="1"/>
  <c r="H61" i="1"/>
  <c r="J61" i="1" s="1"/>
  <c r="H54" i="1"/>
  <c r="I54" i="1" s="1"/>
  <c r="H36" i="1"/>
  <c r="J36" i="1" s="1"/>
  <c r="H20" i="1"/>
  <c r="I20" i="1" s="1"/>
  <c r="H26" i="1"/>
  <c r="J26" i="1" s="1"/>
  <c r="H9" i="1"/>
  <c r="J9" i="1" s="1"/>
  <c r="H17" i="1"/>
  <c r="J17" i="1" s="1"/>
  <c r="H106" i="1"/>
  <c r="I106" i="1" s="1"/>
  <c r="H50" i="1"/>
  <c r="I50" i="1" s="1"/>
  <c r="H25" i="1"/>
  <c r="J25" i="1" s="1"/>
  <c r="H72" i="1"/>
  <c r="J72" i="1" s="1"/>
  <c r="H42" i="1"/>
  <c r="I42" i="1" s="1"/>
  <c r="H34" i="1"/>
  <c r="I34" i="1" s="1"/>
  <c r="H48" i="1"/>
  <c r="I48" i="1" s="1"/>
  <c r="H27" i="1"/>
  <c r="J27" i="1" s="1"/>
  <c r="H21" i="1"/>
  <c r="I21" i="1" s="1"/>
  <c r="H15" i="1"/>
  <c r="J15" i="1" s="1"/>
  <c r="H102" i="1"/>
  <c r="I102" i="1" s="1"/>
  <c r="H77" i="1"/>
  <c r="J77" i="1" s="1"/>
  <c r="H58" i="1"/>
  <c r="J58" i="1" s="1"/>
  <c r="H52" i="1"/>
  <c r="I52" i="1" s="1"/>
  <c r="H49" i="1"/>
  <c r="J49" i="1" s="1"/>
  <c r="H40" i="1"/>
  <c r="J40" i="1" s="1"/>
  <c r="H29" i="1"/>
  <c r="J29" i="1" s="1"/>
  <c r="H91" i="1"/>
  <c r="I91" i="1" s="1"/>
  <c r="H98" i="1"/>
  <c r="J98" i="1" s="1"/>
  <c r="H96" i="1"/>
  <c r="I96" i="1" s="1"/>
  <c r="H109" i="1"/>
  <c r="J109" i="1" s="1"/>
  <c r="H103" i="1"/>
  <c r="J103" i="1" s="1"/>
  <c r="H97" i="1"/>
  <c r="J97" i="1" s="1"/>
  <c r="H95" i="1"/>
  <c r="J95" i="1" s="1"/>
  <c r="H89" i="1"/>
  <c r="J89" i="1" s="1"/>
  <c r="H86" i="1"/>
  <c r="I86" i="1" s="1"/>
  <c r="H76" i="1"/>
  <c r="I76" i="1" s="1"/>
  <c r="H73" i="1"/>
  <c r="I73" i="1" s="1"/>
  <c r="H62" i="1"/>
  <c r="I62" i="1" s="1"/>
  <c r="H59" i="1"/>
  <c r="I59" i="1" s="1"/>
  <c r="H51" i="1"/>
  <c r="I51" i="1" s="1"/>
  <c r="H13" i="1"/>
  <c r="I13" i="1" s="1"/>
  <c r="H68" i="1"/>
  <c r="J68" i="1" s="1"/>
  <c r="H44" i="1"/>
  <c r="I44" i="1" s="1"/>
  <c r="H83" i="1"/>
  <c r="J83" i="1" s="1"/>
  <c r="H80" i="1"/>
  <c r="J80" i="1" s="1"/>
  <c r="H75" i="1"/>
  <c r="J75" i="1" s="1"/>
  <c r="H69" i="1"/>
  <c r="I69" i="1" s="1"/>
  <c r="H66" i="1"/>
  <c r="J66" i="1" s="1"/>
  <c r="H55" i="1"/>
  <c r="J55" i="1" s="1"/>
  <c r="H11" i="1"/>
  <c r="J11" i="1" s="1"/>
  <c r="H105" i="1"/>
  <c r="I105" i="1" s="1"/>
  <c r="H82" i="1"/>
  <c r="I82" i="1" s="1"/>
  <c r="H65" i="1"/>
  <c r="I65" i="1" s="1"/>
  <c r="H8" i="1"/>
  <c r="I8" i="1" s="1"/>
  <c r="H6" i="1"/>
  <c r="J6" i="1" s="1"/>
  <c r="H5" i="1"/>
  <c r="J5" i="1" s="1"/>
  <c r="H4" i="1"/>
  <c r="I4" i="1" s="1"/>
  <c r="I10" i="1" l="1"/>
  <c r="H33" i="1"/>
  <c r="J33" i="1" s="1"/>
  <c r="N33" i="1"/>
  <c r="H7" i="1"/>
  <c r="J7" i="1" s="1"/>
  <c r="N7" i="1"/>
  <c r="H32" i="1"/>
  <c r="I32" i="1" s="1"/>
  <c r="N32" i="1"/>
  <c r="I53" i="1"/>
  <c r="K53" i="1" s="1"/>
  <c r="J104" i="1"/>
  <c r="K104" i="1" s="1"/>
  <c r="I94" i="1"/>
  <c r="K94" i="1" s="1"/>
  <c r="I84" i="1"/>
  <c r="K84" i="1" s="1"/>
  <c r="I85" i="1"/>
  <c r="K85" i="1" s="1"/>
  <c r="I39" i="1"/>
  <c r="K39" i="1" s="1"/>
  <c r="I88" i="1"/>
  <c r="K88" i="1" s="1"/>
  <c r="J108" i="1"/>
  <c r="K108" i="1" s="1"/>
  <c r="J78" i="1"/>
  <c r="K78" i="1" s="1"/>
  <c r="I93" i="1"/>
  <c r="K93" i="1" s="1"/>
  <c r="J2" i="1"/>
  <c r="K2" i="1" s="1"/>
  <c r="J57" i="1"/>
  <c r="K57" i="1" s="1"/>
  <c r="I45" i="1"/>
  <c r="K45" i="1" s="1"/>
  <c r="I56" i="1"/>
  <c r="K56" i="1" s="1"/>
  <c r="I47" i="1"/>
  <c r="K47" i="1" s="1"/>
  <c r="I79" i="1"/>
  <c r="K79" i="1" s="1"/>
  <c r="I38" i="1"/>
  <c r="K38" i="1" s="1"/>
  <c r="I99" i="1"/>
  <c r="K99" i="1" s="1"/>
  <c r="I41" i="1"/>
  <c r="K41" i="1" s="1"/>
  <c r="I63" i="1"/>
  <c r="K63" i="1" s="1"/>
  <c r="I60" i="1"/>
  <c r="K60" i="1" s="1"/>
  <c r="I43" i="1"/>
  <c r="K43" i="1" s="1"/>
  <c r="I107" i="1"/>
  <c r="K107" i="1" s="1"/>
  <c r="I101" i="1"/>
  <c r="K101" i="1" s="1"/>
  <c r="J90" i="1"/>
  <c r="K90" i="1" s="1"/>
  <c r="I87" i="1"/>
  <c r="K87" i="1" s="1"/>
  <c r="I23" i="1"/>
  <c r="K23" i="1" s="1"/>
  <c r="J35" i="1"/>
  <c r="K35" i="1" s="1"/>
  <c r="I12" i="1"/>
  <c r="K12" i="1" s="1"/>
  <c r="I22" i="1"/>
  <c r="K22" i="1" s="1"/>
  <c r="I19" i="1"/>
  <c r="K19" i="1" s="1"/>
  <c r="J46" i="1"/>
  <c r="K46" i="1" s="1"/>
  <c r="J16" i="1"/>
  <c r="K16" i="1" s="1"/>
  <c r="J81" i="1"/>
  <c r="K81" i="1" s="1"/>
  <c r="I28" i="1"/>
  <c r="K28" i="1" s="1"/>
  <c r="I31" i="1"/>
  <c r="K31" i="1" s="1"/>
  <c r="J110" i="1"/>
  <c r="K110" i="1" s="1"/>
  <c r="I71" i="1"/>
  <c r="K71" i="1" s="1"/>
  <c r="J70" i="1"/>
  <c r="K70" i="1" s="1"/>
  <c r="I14" i="1"/>
  <c r="K14" i="1" s="1"/>
  <c r="J42" i="1"/>
  <c r="K42" i="1" s="1"/>
  <c r="I30" i="1"/>
  <c r="K30" i="1" s="1"/>
  <c r="I9" i="1"/>
  <c r="K9" i="1" s="1"/>
  <c r="I18" i="1"/>
  <c r="K18" i="1" s="1"/>
  <c r="J64" i="1"/>
  <c r="K64" i="1" s="1"/>
  <c r="I100" i="1"/>
  <c r="K100" i="1" s="1"/>
  <c r="I37" i="1"/>
  <c r="K37" i="1" s="1"/>
  <c r="J52" i="1"/>
  <c r="K52" i="1" s="1"/>
  <c r="J106" i="1"/>
  <c r="K106" i="1" s="1"/>
  <c r="J54" i="1"/>
  <c r="K54" i="1" s="1"/>
  <c r="J3" i="1"/>
  <c r="K3" i="1" s="1"/>
  <c r="I17" i="1"/>
  <c r="K17" i="1" s="1"/>
  <c r="I25" i="1"/>
  <c r="K25" i="1" s="1"/>
  <c r="I36" i="1"/>
  <c r="K36" i="1" s="1"/>
  <c r="J92" i="1"/>
  <c r="K92" i="1" s="1"/>
  <c r="I74" i="1"/>
  <c r="K74" i="1" s="1"/>
  <c r="I61" i="1"/>
  <c r="K61" i="1" s="1"/>
  <c r="J20" i="1"/>
  <c r="K20" i="1" s="1"/>
  <c r="I24" i="1"/>
  <c r="K24" i="1" s="1"/>
  <c r="J50" i="1"/>
  <c r="K50" i="1" s="1"/>
  <c r="I49" i="1"/>
  <c r="K49" i="1" s="1"/>
  <c r="I26" i="1"/>
  <c r="K26" i="1" s="1"/>
  <c r="I40" i="1"/>
  <c r="K40" i="1" s="1"/>
  <c r="J32" i="1"/>
  <c r="K32" i="1" s="1"/>
  <c r="I15" i="1"/>
  <c r="K15" i="1" s="1"/>
  <c r="J4" i="1"/>
  <c r="K4" i="1" s="1"/>
  <c r="I29" i="1"/>
  <c r="K29" i="1" s="1"/>
  <c r="I55" i="1"/>
  <c r="K55" i="1" s="1"/>
  <c r="I98" i="1"/>
  <c r="K98" i="1" s="1"/>
  <c r="I89" i="1"/>
  <c r="K89" i="1" s="1"/>
  <c r="J86" i="1"/>
  <c r="K86" i="1" s="1"/>
  <c r="I67" i="1"/>
  <c r="K67" i="1" s="1"/>
  <c r="I11" i="1"/>
  <c r="K11" i="1" s="1"/>
  <c r="I72" i="1"/>
  <c r="K72" i="1" s="1"/>
  <c r="J102" i="1"/>
  <c r="K102" i="1" s="1"/>
  <c r="I95" i="1"/>
  <c r="K95" i="1" s="1"/>
  <c r="I83" i="1"/>
  <c r="K83" i="1" s="1"/>
  <c r="J34" i="1"/>
  <c r="K34" i="1" s="1"/>
  <c r="J59" i="1"/>
  <c r="K59" i="1" s="1"/>
  <c r="J105" i="1"/>
  <c r="K105" i="1" s="1"/>
  <c r="J21" i="1"/>
  <c r="K21" i="1" s="1"/>
  <c r="I27" i="1"/>
  <c r="K27" i="1" s="1"/>
  <c r="J48" i="1"/>
  <c r="K48" i="1" s="1"/>
  <c r="J8" i="1"/>
  <c r="K8" i="1" s="1"/>
  <c r="I58" i="1"/>
  <c r="K58" i="1" s="1"/>
  <c r="I77" i="1"/>
  <c r="K77" i="1" s="1"/>
  <c r="I75" i="1"/>
  <c r="K75" i="1" s="1"/>
  <c r="J91" i="1"/>
  <c r="K91" i="1" s="1"/>
  <c r="J51" i="1"/>
  <c r="K51" i="1" s="1"/>
  <c r="I109" i="1"/>
  <c r="K109" i="1" s="1"/>
  <c r="J13" i="1"/>
  <c r="K13" i="1" s="1"/>
  <c r="I68" i="1"/>
  <c r="K68" i="1" s="1"/>
  <c r="J69" i="1"/>
  <c r="K69" i="1" s="1"/>
  <c r="J96" i="1"/>
  <c r="K96" i="1" s="1"/>
  <c r="J44" i="1"/>
  <c r="K44" i="1" s="1"/>
  <c r="I66" i="1"/>
  <c r="K66" i="1" s="1"/>
  <c r="I103" i="1"/>
  <c r="K103" i="1" s="1"/>
  <c r="I80" i="1"/>
  <c r="K80" i="1" s="1"/>
  <c r="I97" i="1"/>
  <c r="K97" i="1" s="1"/>
  <c r="K10" i="1"/>
  <c r="J82" i="1"/>
  <c r="K82" i="1" s="1"/>
  <c r="J73" i="1"/>
  <c r="K73" i="1" s="1"/>
  <c r="J62" i="1"/>
  <c r="K62" i="1" s="1"/>
  <c r="J76" i="1"/>
  <c r="K76" i="1" s="1"/>
  <c r="J65" i="1"/>
  <c r="K65" i="1" s="1"/>
  <c r="I7" i="1"/>
  <c r="K7" i="1" s="1"/>
  <c r="I6" i="1"/>
  <c r="K6" i="1" s="1"/>
  <c r="I5" i="1"/>
  <c r="K5" i="1" s="1"/>
  <c r="I33" i="1" l="1"/>
  <c r="K3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孔德瑞</author>
  </authors>
  <commentList>
    <comment ref="L25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孔德瑞:</t>
        </r>
        <r>
          <rPr>
            <sz val="9"/>
            <color indexed="81"/>
            <rFont val="宋体"/>
            <family val="3"/>
            <charset val="134"/>
          </rPr>
          <t xml:space="preserve">
是-2003的值</t>
        </r>
      </text>
    </comment>
    <comment ref="L26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孔德瑞:</t>
        </r>
        <r>
          <rPr>
            <sz val="9"/>
            <color indexed="81"/>
            <rFont val="宋体"/>
            <family val="3"/>
            <charset val="134"/>
          </rPr>
          <t xml:space="preserve">
是-2003的值</t>
        </r>
      </text>
    </comment>
  </commentList>
</comments>
</file>

<file path=xl/sharedStrings.xml><?xml version="1.0" encoding="utf-8"?>
<sst xmlns="http://schemas.openxmlformats.org/spreadsheetml/2006/main" count="358" uniqueCount="168">
  <si>
    <t>机型系列</t>
    <phoneticPr fontId="4" type="noConversion"/>
  </si>
  <si>
    <t>直接材料</t>
  </si>
  <si>
    <t>直接人工</t>
  </si>
  <si>
    <t>制造费用</t>
  </si>
  <si>
    <t>专项费用</t>
  </si>
  <si>
    <t>管理费用</t>
  </si>
  <si>
    <t>财务费用</t>
  </si>
  <si>
    <t>战斗机</t>
    <phoneticPr fontId="3" type="noConversion"/>
  </si>
  <si>
    <t>现行工时水平</t>
    <phoneticPr fontId="4" type="noConversion"/>
  </si>
  <si>
    <t>制空无人机</t>
    <phoneticPr fontId="3" type="noConversion"/>
  </si>
  <si>
    <t>无人机</t>
  </si>
  <si>
    <t>无人机</t>
    <phoneticPr fontId="3" type="noConversion"/>
  </si>
  <si>
    <t>战斗机</t>
  </si>
  <si>
    <t>军机</t>
  </si>
  <si>
    <t>运输机</t>
  </si>
  <si>
    <t>舰载教</t>
  </si>
  <si>
    <t>攻击机</t>
  </si>
  <si>
    <t>教练机</t>
  </si>
  <si>
    <t>客机</t>
    <phoneticPr fontId="3" type="noConversion"/>
  </si>
  <si>
    <t>客机</t>
    <phoneticPr fontId="3" type="noConversion"/>
  </si>
  <si>
    <t>客机</t>
  </si>
  <si>
    <t>标准成本</t>
    <phoneticPr fontId="3" type="noConversion"/>
  </si>
  <si>
    <t>原材料</t>
    <phoneticPr fontId="3" type="noConversion"/>
  </si>
  <si>
    <t>外购件</t>
    <phoneticPr fontId="3" type="noConversion"/>
  </si>
  <si>
    <t>XD-3</t>
  </si>
  <si>
    <t>XD-42</t>
  </si>
  <si>
    <t>XD-43</t>
  </si>
  <si>
    <t>XD-44</t>
  </si>
  <si>
    <t>XD-58</t>
  </si>
  <si>
    <t>XD-66</t>
  </si>
  <si>
    <t>XD-69</t>
  </si>
  <si>
    <t>XD-70</t>
  </si>
  <si>
    <t>XD-71</t>
  </si>
  <si>
    <t>XD-72</t>
  </si>
  <si>
    <t>XD-89</t>
  </si>
  <si>
    <t>XD-106</t>
  </si>
  <si>
    <t>XD-107</t>
  </si>
  <si>
    <t>XD-109</t>
  </si>
  <si>
    <t>XD-113</t>
  </si>
  <si>
    <t>XD-121</t>
  </si>
  <si>
    <t>XD-122</t>
  </si>
  <si>
    <t>XD-125</t>
  </si>
  <si>
    <t>XD-126</t>
  </si>
  <si>
    <t>XD-127</t>
  </si>
  <si>
    <t>XD-128</t>
  </si>
  <si>
    <t>XD-129</t>
  </si>
  <si>
    <t>XD-131</t>
  </si>
  <si>
    <t>XD-132</t>
  </si>
  <si>
    <t>XD-3B</t>
    <phoneticPr fontId="3" type="noConversion"/>
  </si>
  <si>
    <t>XD-3B(G1)</t>
    <phoneticPr fontId="3" type="noConversion"/>
  </si>
  <si>
    <t>XD-8A</t>
    <phoneticPr fontId="3" type="noConversion"/>
  </si>
  <si>
    <t>XD-9A</t>
    <phoneticPr fontId="3" type="noConversion"/>
  </si>
  <si>
    <t>XD-10A</t>
    <phoneticPr fontId="3" type="noConversion"/>
  </si>
  <si>
    <t>XD-11A</t>
  </si>
  <si>
    <t>XD-34</t>
    <phoneticPr fontId="3" type="noConversion"/>
  </si>
  <si>
    <t>XD-8B</t>
    <phoneticPr fontId="3" type="noConversion"/>
  </si>
  <si>
    <t>XD-9B</t>
  </si>
  <si>
    <t>XD-10B</t>
  </si>
  <si>
    <t>XD-11B</t>
  </si>
  <si>
    <t>XD-34A</t>
    <phoneticPr fontId="3" type="noConversion"/>
  </si>
  <si>
    <t>XD-64A</t>
    <phoneticPr fontId="3" type="noConversion"/>
  </si>
  <si>
    <t>XD-67A</t>
    <phoneticPr fontId="3" type="noConversion"/>
  </si>
  <si>
    <t>XD-68</t>
    <phoneticPr fontId="3" type="noConversion"/>
  </si>
  <si>
    <t>XD-105</t>
    <phoneticPr fontId="3" type="noConversion"/>
  </si>
  <si>
    <t>XD-001</t>
    <phoneticPr fontId="3" type="noConversion"/>
  </si>
  <si>
    <t>XD-002</t>
    <phoneticPr fontId="3" type="noConversion"/>
  </si>
  <si>
    <t>XD-130</t>
    <phoneticPr fontId="3" type="noConversion"/>
  </si>
  <si>
    <t>XD-009</t>
    <phoneticPr fontId="3" type="noConversion"/>
  </si>
  <si>
    <t>XD-010</t>
    <phoneticPr fontId="3" type="noConversion"/>
  </si>
  <si>
    <t>XD-120</t>
    <phoneticPr fontId="3" type="noConversion"/>
  </si>
  <si>
    <t>XD-123Z</t>
    <phoneticPr fontId="3" type="noConversion"/>
  </si>
  <si>
    <t>XD-123Y</t>
    <phoneticPr fontId="3" type="noConversion"/>
  </si>
  <si>
    <t>XD-56AZ</t>
    <phoneticPr fontId="3" type="noConversion"/>
  </si>
  <si>
    <t>XD-56AY</t>
    <phoneticPr fontId="3" type="noConversion"/>
  </si>
  <si>
    <t>XD-59Z</t>
    <phoneticPr fontId="3" type="noConversion"/>
  </si>
  <si>
    <t>XD-59Y</t>
    <phoneticPr fontId="3" type="noConversion"/>
  </si>
  <si>
    <t>XD-57AH</t>
    <phoneticPr fontId="3" type="noConversion"/>
  </si>
  <si>
    <t>XD-57H</t>
    <phoneticPr fontId="3" type="noConversion"/>
  </si>
  <si>
    <t>XD-56HZ</t>
    <phoneticPr fontId="3" type="noConversion"/>
  </si>
  <si>
    <t>XD-56HY</t>
    <phoneticPr fontId="3" type="noConversion"/>
  </si>
  <si>
    <t>XD-58H</t>
  </si>
  <si>
    <t>XD-59HZ</t>
    <phoneticPr fontId="3" type="noConversion"/>
  </si>
  <si>
    <t>XD-59HY</t>
    <phoneticPr fontId="3" type="noConversion"/>
  </si>
  <si>
    <t>XD-82Y</t>
    <phoneticPr fontId="3" type="noConversion"/>
  </si>
  <si>
    <t>XD-82Z</t>
    <phoneticPr fontId="3" type="noConversion"/>
  </si>
  <si>
    <t>XD-84</t>
    <phoneticPr fontId="3" type="noConversion"/>
  </si>
  <si>
    <t>XD-85Y</t>
    <phoneticPr fontId="3" type="noConversion"/>
  </si>
  <si>
    <t>XD-85Z</t>
    <phoneticPr fontId="3" type="noConversion"/>
  </si>
  <si>
    <t>XD-142</t>
    <phoneticPr fontId="3" type="noConversion"/>
  </si>
  <si>
    <t>XD-108</t>
    <phoneticPr fontId="3" type="noConversion"/>
  </si>
  <si>
    <t>XD-41</t>
    <phoneticPr fontId="3" type="noConversion"/>
  </si>
  <si>
    <t>XD-45Z</t>
    <phoneticPr fontId="3" type="noConversion"/>
  </si>
  <si>
    <t>XD-45Y</t>
    <phoneticPr fontId="3" type="noConversion"/>
  </si>
  <si>
    <t>XD-41H</t>
    <phoneticPr fontId="3" type="noConversion"/>
  </si>
  <si>
    <t>XD-42H</t>
  </si>
  <si>
    <t>XD-43H</t>
  </si>
  <si>
    <t>XD-44H</t>
  </si>
  <si>
    <t>XD-45HZ</t>
    <phoneticPr fontId="3" type="noConversion"/>
  </si>
  <si>
    <t>XD-45HY</t>
    <phoneticPr fontId="3" type="noConversion"/>
  </si>
  <si>
    <t>XD-1</t>
    <phoneticPr fontId="3" type="noConversion"/>
  </si>
  <si>
    <t>XD-2</t>
  </si>
  <si>
    <t>XD-139</t>
    <phoneticPr fontId="3" type="noConversion"/>
  </si>
  <si>
    <t>XD-140</t>
  </si>
  <si>
    <t>XD-141</t>
  </si>
  <si>
    <t>XD-12B</t>
    <phoneticPr fontId="3" type="noConversion"/>
  </si>
  <si>
    <t>XD-13B</t>
  </si>
  <si>
    <t>XD-14B</t>
  </si>
  <si>
    <t>XD-12C</t>
    <phoneticPr fontId="3" type="noConversion"/>
  </si>
  <si>
    <t>XD-13C</t>
  </si>
  <si>
    <t>XD-14C</t>
  </si>
  <si>
    <t>XD-15A</t>
    <phoneticPr fontId="3" type="noConversion"/>
  </si>
  <si>
    <t>XD-16B</t>
    <phoneticPr fontId="3" type="noConversion"/>
  </si>
  <si>
    <t>XD-15B</t>
    <phoneticPr fontId="3" type="noConversion"/>
  </si>
  <si>
    <t>XD-16C</t>
    <phoneticPr fontId="3" type="noConversion"/>
  </si>
  <si>
    <t>XD-4B</t>
    <phoneticPr fontId="3" type="noConversion"/>
  </si>
  <si>
    <t>XD-5B</t>
  </si>
  <si>
    <t>XD-124</t>
    <phoneticPr fontId="3" type="noConversion"/>
  </si>
  <si>
    <t>XD-88</t>
    <phoneticPr fontId="3" type="noConversion"/>
  </si>
  <si>
    <t>XD-011</t>
    <phoneticPr fontId="3" type="noConversion"/>
  </si>
  <si>
    <t>XD-0034</t>
    <phoneticPr fontId="3" type="noConversion"/>
  </si>
  <si>
    <t>XD-050</t>
    <phoneticPr fontId="3" type="noConversion"/>
  </si>
  <si>
    <t>XD-217</t>
    <phoneticPr fontId="3" type="noConversion"/>
  </si>
  <si>
    <t>XD-218</t>
  </si>
  <si>
    <t>XD-219</t>
  </si>
  <si>
    <t>XD-220</t>
  </si>
  <si>
    <t>XD-221</t>
  </si>
  <si>
    <t>XD-222</t>
  </si>
  <si>
    <t>XD-223</t>
  </si>
  <si>
    <t>XD-207</t>
    <phoneticPr fontId="3" type="noConversion"/>
  </si>
  <si>
    <t>XD-208</t>
  </si>
  <si>
    <t>DCJR</t>
    <phoneticPr fontId="3" type="noConversion"/>
  </si>
  <si>
    <t>CDB</t>
    <phoneticPr fontId="3" type="noConversion"/>
  </si>
  <si>
    <t>ZJ</t>
    <phoneticPr fontId="3" type="noConversion"/>
  </si>
  <si>
    <t>JS</t>
    <phoneticPr fontId="3" type="noConversion"/>
  </si>
  <si>
    <t>XCXW</t>
    <phoneticPr fontId="3" type="noConversion"/>
  </si>
  <si>
    <t>LJBH</t>
    <phoneticPr fontId="3" type="noConversion"/>
  </si>
  <si>
    <t>WZKG</t>
    <phoneticPr fontId="3" type="noConversion"/>
  </si>
  <si>
    <t>WZSF</t>
    <phoneticPr fontId="3" type="noConversion"/>
  </si>
  <si>
    <t>CD</t>
    <phoneticPr fontId="3" type="noConversion"/>
  </si>
  <si>
    <t>JL</t>
    <phoneticPr fontId="3" type="noConversion"/>
  </si>
  <si>
    <t>9＇</t>
  </si>
  <si>
    <t>1°</t>
  </si>
  <si>
    <t>0.4°</t>
  </si>
  <si>
    <t>12＇</t>
  </si>
  <si>
    <t>15＇</t>
  </si>
  <si>
    <t>JX</t>
    <phoneticPr fontId="3" type="noConversion"/>
  </si>
  <si>
    <t>XD-86Z</t>
    <phoneticPr fontId="3" type="noConversion"/>
  </si>
  <si>
    <t>XD-61Z</t>
    <phoneticPr fontId="3" type="noConversion"/>
  </si>
  <si>
    <t>XD-62Z</t>
    <phoneticPr fontId="3" type="noConversion"/>
  </si>
  <si>
    <t>JX_V1</t>
    <phoneticPr fontId="3" type="noConversion"/>
  </si>
  <si>
    <t>短时高温</t>
    <phoneticPr fontId="3" type="noConversion"/>
  </si>
  <si>
    <t>炮振要求</t>
    <phoneticPr fontId="3" type="noConversion"/>
  </si>
  <si>
    <t>工作包线内表面温度要求</t>
    <phoneticPr fontId="3" type="noConversion"/>
  </si>
  <si>
    <t>除冰温度要求</t>
    <phoneticPr fontId="3" type="noConversion"/>
  </si>
  <si>
    <t>防火和可燃性</t>
    <phoneticPr fontId="3" type="noConversion"/>
  </si>
  <si>
    <t>DQY</t>
    <phoneticPr fontId="3" type="noConversion"/>
  </si>
  <si>
    <t>WG</t>
    <phoneticPr fontId="3" type="noConversion"/>
  </si>
  <si>
    <t>SR-温度下</t>
    <phoneticPr fontId="3" type="noConversion"/>
  </si>
  <si>
    <t>SR-时间</t>
    <phoneticPr fontId="3" type="noConversion"/>
  </si>
  <si>
    <t>YW-时间</t>
    <phoneticPr fontId="3" type="noConversion"/>
  </si>
  <si>
    <t>YW-溶液pH值下界</t>
    <phoneticPr fontId="3" type="noConversion"/>
  </si>
  <si>
    <t>YW-溶液pH值上界</t>
    <phoneticPr fontId="3" type="noConversion"/>
  </si>
  <si>
    <t>PJZD</t>
    <phoneticPr fontId="3" type="noConversion"/>
  </si>
  <si>
    <t>ZS</t>
    <phoneticPr fontId="3" type="noConversion"/>
  </si>
  <si>
    <t>直接人工+制造费用</t>
    <phoneticPr fontId="3" type="noConversion"/>
  </si>
  <si>
    <t>总成本</t>
    <phoneticPr fontId="3" type="noConversion"/>
  </si>
  <si>
    <t>产品名称</t>
    <phoneticPr fontId="3" type="noConversion"/>
  </si>
  <si>
    <t>耐火要求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</si>
</sst>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0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b/>
      <sz val="11"/>
      <color rgb="FFFF0000"/>
      <name val="宋体"/>
      <family val="3"/>
      <charset val="134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b/>
      <sz val="12"/>
      <color rgb="FFFF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3" fontId="15" fillId="0" borderId="0" applyFont="0" applyFill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7" fillId="3" borderId="1" xfId="0" applyFont="1" applyFill="1" applyBorder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43" fontId="6" fillId="0" borderId="1" xfId="2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7" fillId="3" borderId="1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1" xfId="0" applyBorder="1" applyAlignment="1">
      <alignment vertical="center" wrapText="1"/>
    </xf>
    <xf numFmtId="43" fontId="0" fillId="0" borderId="1" xfId="2" applyFont="1" applyBorder="1">
      <alignment vertical="center"/>
    </xf>
    <xf numFmtId="43" fontId="0" fillId="0" borderId="1" xfId="2" applyFont="1" applyFill="1" applyBorder="1" applyAlignment="1" applyProtection="1">
      <alignment vertical="center" wrapText="1"/>
    </xf>
    <xf numFmtId="43" fontId="0" fillId="0" borderId="1" xfId="0" applyNumberFormat="1" applyBorder="1">
      <alignment vertical="center"/>
    </xf>
    <xf numFmtId="43" fontId="7" fillId="3" borderId="1" xfId="2" applyFont="1" applyFill="1" applyBorder="1" applyAlignment="1">
      <alignment vertical="center"/>
    </xf>
    <xf numFmtId="43" fontId="0" fillId="0" borderId="1" xfId="2" applyFont="1" applyFill="1" applyBorder="1" applyAlignment="1">
      <alignment horizontal="center" vertical="center"/>
    </xf>
    <xf numFmtId="43" fontId="0" fillId="0" borderId="2" xfId="2" applyFont="1" applyBorder="1">
      <alignment vertical="center"/>
    </xf>
    <xf numFmtId="43" fontId="0" fillId="0" borderId="1" xfId="2" applyFont="1" applyBorder="1" applyAlignment="1">
      <alignment horizontal="center" vertical="center"/>
    </xf>
    <xf numFmtId="43" fontId="0" fillId="0" borderId="0" xfId="2" applyFont="1">
      <alignment vertical="center"/>
    </xf>
    <xf numFmtId="0" fontId="5" fillId="2" borderId="1" xfId="1" applyFont="1" applyFill="1" applyBorder="1" applyAlignment="1">
      <alignment horizontal="center" vertical="center"/>
    </xf>
    <xf numFmtId="43" fontId="0" fillId="0" borderId="1" xfId="0" quotePrefix="1" applyNumberFormat="1" applyBorder="1">
      <alignment vertical="center"/>
    </xf>
    <xf numFmtId="0" fontId="0" fillId="0" borderId="1" xfId="2" applyNumberFormat="1" applyFont="1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43" fontId="0" fillId="0" borderId="1" xfId="2" applyFont="1" applyFill="1" applyBorder="1">
      <alignment vertical="center"/>
    </xf>
    <xf numFmtId="0" fontId="0" fillId="0" borderId="1" xfId="2" applyNumberFormat="1" applyFont="1" applyFill="1" applyBorder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19" fillId="3" borderId="1" xfId="0" applyFont="1" applyFill="1" applyBorder="1">
      <alignment vertical="center"/>
    </xf>
    <xf numFmtId="0" fontId="19" fillId="3" borderId="1" xfId="0" applyFont="1" applyFill="1" applyBorder="1" applyAlignment="1">
      <alignment horizontal="center" vertical="center"/>
    </xf>
  </cellXfs>
  <cellStyles count="3">
    <cellStyle name="常规" xfId="0" builtinId="0"/>
    <cellStyle name="常规 10" xfId="1" xr:uid="{00000000-0005-0000-0000-000001000000}"/>
    <cellStyle name="千位分隔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109</xdr:row>
      <xdr:rowOff>173181</xdr:rowOff>
    </xdr:from>
    <xdr:to>
      <xdr:col>3</xdr:col>
      <xdr:colOff>816022</xdr:colOff>
      <xdr:row>109</xdr:row>
      <xdr:rowOff>173181</xdr:rowOff>
    </xdr:to>
    <xdr:pic>
      <xdr:nvPicPr>
        <xdr:cNvPr id="212" name="图片 211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06643" y="209383002"/>
          <a:ext cx="206346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0"/>
  <sheetViews>
    <sheetView tabSelected="1" topLeftCell="Y1" zoomScale="110" zoomScaleNormal="110" workbookViewId="0">
      <selection activeCell="AO1" sqref="AO1"/>
    </sheetView>
  </sheetViews>
  <sheetFormatPr defaultRowHeight="13.5" x14ac:dyDescent="0.15"/>
  <cols>
    <col min="1" max="1" width="0" hidden="1" customWidth="1"/>
    <col min="2" max="2" width="15.625" style="5" customWidth="1"/>
    <col min="3" max="4" width="16.5" style="24" customWidth="1"/>
    <col min="5" max="5" width="15.375" customWidth="1"/>
    <col min="6" max="6" width="15.875" customWidth="1"/>
    <col min="7" max="7" width="12.625" customWidth="1"/>
    <col min="8" max="8" width="11.625" customWidth="1"/>
    <col min="9" max="9" width="15.5" customWidth="1"/>
    <col min="10" max="10" width="13.25" customWidth="1"/>
    <col min="11" max="11" width="12.75" customWidth="1"/>
    <col min="12" max="12" width="13.875" style="15" customWidth="1"/>
    <col min="13" max="13" width="21.125" style="15" bestFit="1" customWidth="1"/>
    <col min="14" max="14" width="13.875" style="15" customWidth="1"/>
    <col min="15" max="15" width="9.125" customWidth="1"/>
    <col min="16" max="16" width="10.375" customWidth="1"/>
    <col min="17" max="17" width="8.625" customWidth="1"/>
    <col min="18" max="18" width="6.25" customWidth="1"/>
    <col min="19" max="19" width="10.5" customWidth="1"/>
    <col min="20" max="20" width="8.375" customWidth="1"/>
    <col min="21" max="21" width="9" style="5" customWidth="1"/>
    <col min="22" max="22" width="10.875" style="5" customWidth="1"/>
    <col min="23" max="23" width="15.125" customWidth="1"/>
    <col min="24" max="25" width="16.75" customWidth="1"/>
    <col min="26" max="26" width="5.625" customWidth="1"/>
    <col min="27" max="29" width="13.75" bestFit="1" customWidth="1"/>
    <col min="30" max="30" width="29.25" bestFit="1" customWidth="1"/>
    <col min="31" max="32" width="18.125" bestFit="1" customWidth="1"/>
    <col min="33" max="34" width="6.5" customWidth="1"/>
    <col min="35" max="36" width="8" customWidth="1"/>
    <col min="37" max="39" width="11.5" customWidth="1"/>
    <col min="40" max="41" width="5.5" customWidth="1"/>
  </cols>
  <sheetData>
    <row r="1" spans="1:41" s="3" customFormat="1" ht="37.5" x14ac:dyDescent="0.15">
      <c r="A1" s="6" t="s">
        <v>0</v>
      </c>
      <c r="B1" s="25" t="s">
        <v>166</v>
      </c>
      <c r="C1" s="20" t="s">
        <v>22</v>
      </c>
      <c r="D1" s="20" t="s">
        <v>23</v>
      </c>
      <c r="E1" s="43" t="s">
        <v>1</v>
      </c>
      <c r="F1" s="7" t="s">
        <v>2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21</v>
      </c>
      <c r="L1" s="14" t="s">
        <v>8</v>
      </c>
      <c r="M1" s="44" t="s">
        <v>164</v>
      </c>
      <c r="N1" s="44" t="s">
        <v>165</v>
      </c>
      <c r="O1" s="31" t="s">
        <v>139</v>
      </c>
      <c r="P1" s="31" t="s">
        <v>138</v>
      </c>
      <c r="Q1" s="31" t="s">
        <v>137</v>
      </c>
      <c r="R1" s="31" t="s">
        <v>136</v>
      </c>
      <c r="S1" s="31" t="s">
        <v>135</v>
      </c>
      <c r="T1" s="31" t="s">
        <v>134</v>
      </c>
      <c r="U1" s="31" t="s">
        <v>133</v>
      </c>
      <c r="V1" s="31" t="s">
        <v>132</v>
      </c>
      <c r="W1" s="31" t="s">
        <v>131</v>
      </c>
      <c r="X1" s="8" t="s">
        <v>149</v>
      </c>
      <c r="Y1" s="31" t="s">
        <v>145</v>
      </c>
      <c r="Z1" s="31" t="s">
        <v>130</v>
      </c>
      <c r="AA1" s="31" t="s">
        <v>150</v>
      </c>
      <c r="AB1" s="31" t="s">
        <v>167</v>
      </c>
      <c r="AC1" s="31" t="s">
        <v>151</v>
      </c>
      <c r="AD1" s="31" t="s">
        <v>152</v>
      </c>
      <c r="AE1" s="31" t="s">
        <v>153</v>
      </c>
      <c r="AF1" s="31" t="s">
        <v>154</v>
      </c>
      <c r="AG1" s="31" t="s">
        <v>155</v>
      </c>
      <c r="AH1" s="31" t="s">
        <v>156</v>
      </c>
      <c r="AI1" s="31" t="s">
        <v>157</v>
      </c>
      <c r="AJ1" s="31" t="s">
        <v>158</v>
      </c>
      <c r="AK1" s="31" t="s">
        <v>159</v>
      </c>
      <c r="AL1" s="31" t="s">
        <v>160</v>
      </c>
      <c r="AM1" s="31" t="s">
        <v>161</v>
      </c>
      <c r="AN1" s="31" t="s">
        <v>162</v>
      </c>
      <c r="AO1" s="31" t="s">
        <v>163</v>
      </c>
    </row>
    <row r="2" spans="1:41" ht="33.75" customHeight="1" x14ac:dyDescent="0.15">
      <c r="A2" s="4" t="s">
        <v>7</v>
      </c>
      <c r="B2" s="10" t="s">
        <v>48</v>
      </c>
      <c r="C2" s="17">
        <f>E2-D2</f>
        <v>9008.1700000000019</v>
      </c>
      <c r="D2" s="17">
        <v>22899.1</v>
      </c>
      <c r="E2" s="18">
        <v>31907.27</v>
      </c>
      <c r="F2" s="17">
        <f t="shared" ref="F2:F30" si="0">L2*53.8</f>
        <v>30487.922000000002</v>
      </c>
      <c r="G2" s="17">
        <f t="shared" ref="G2:G30" si="1">L2*86.2</f>
        <v>48848.678000000007</v>
      </c>
      <c r="H2" s="17">
        <f>SUM(E2:G2)*0.04</f>
        <v>4449.7548000000006</v>
      </c>
      <c r="I2" s="17">
        <f>SUM(E2:H2)*0.177</f>
        <v>20477.771589600001</v>
      </c>
      <c r="J2" s="19">
        <f>SUM(E2:H2)*0.028</f>
        <v>3239.4214944</v>
      </c>
      <c r="K2" s="19">
        <f>SUM(E2:J2)</f>
        <v>139410.81788400002</v>
      </c>
      <c r="L2" s="9">
        <v>566.69000000000005</v>
      </c>
      <c r="M2" s="28">
        <f>F2+G2</f>
        <v>79336.600000000006</v>
      </c>
      <c r="N2" s="28">
        <f>E2+F2+G2</f>
        <v>111243.87000000001</v>
      </c>
      <c r="O2" s="2">
        <v>1</v>
      </c>
      <c r="P2" s="2">
        <v>1</v>
      </c>
      <c r="Q2" s="2">
        <v>1</v>
      </c>
      <c r="R2" s="2">
        <v>0</v>
      </c>
      <c r="S2" s="2">
        <v>0</v>
      </c>
      <c r="T2" s="2">
        <v>0</v>
      </c>
      <c r="U2" s="9">
        <v>4</v>
      </c>
      <c r="V2" s="9">
        <v>66</v>
      </c>
      <c r="W2" s="4">
        <v>101.19617</v>
      </c>
      <c r="X2" s="4" t="s">
        <v>140</v>
      </c>
      <c r="Y2" s="4">
        <f>9/60</f>
        <v>0.15</v>
      </c>
      <c r="Z2" s="1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 s="4">
        <v>1</v>
      </c>
      <c r="AH2" s="4">
        <v>1</v>
      </c>
      <c r="AI2" s="16">
        <v>30</v>
      </c>
      <c r="AJ2" s="16">
        <v>10</v>
      </c>
      <c r="AK2" s="16">
        <v>96</v>
      </c>
      <c r="AL2" s="16">
        <v>0</v>
      </c>
      <c r="AM2" s="16">
        <v>0</v>
      </c>
      <c r="AN2" s="36">
        <v>0</v>
      </c>
      <c r="AO2" s="1">
        <v>0</v>
      </c>
    </row>
    <row r="3" spans="1:41" ht="32.1" customHeight="1" x14ac:dyDescent="0.15">
      <c r="A3" s="4" t="s">
        <v>7</v>
      </c>
      <c r="B3" s="10" t="s">
        <v>49</v>
      </c>
      <c r="C3" s="17">
        <f>E3-D3</f>
        <v>9008.1700000000019</v>
      </c>
      <c r="D3" s="17">
        <v>22899.1</v>
      </c>
      <c r="E3" s="16">
        <v>31907.27</v>
      </c>
      <c r="F3" s="17">
        <f t="shared" si="0"/>
        <v>30508.904000000002</v>
      </c>
      <c r="G3" s="17">
        <f t="shared" si="1"/>
        <v>48882.296000000002</v>
      </c>
      <c r="H3" s="17">
        <f>SUM(E3:G3)*0.04</f>
        <v>4451.9387999999999</v>
      </c>
      <c r="I3" s="17">
        <f>SUM(E3:H3)*0.177</f>
        <v>20487.822357599998</v>
      </c>
      <c r="J3" s="19">
        <f>SUM(E3:H3)*0.028</f>
        <v>3241.0114464000003</v>
      </c>
      <c r="K3" s="19">
        <f>SUM(E3:J3)</f>
        <v>139479.242604</v>
      </c>
      <c r="L3" s="9">
        <v>567.08000000000004</v>
      </c>
      <c r="M3" s="28">
        <f t="shared" ref="M3:M59" si="2">F3+G3</f>
        <v>79391.200000000012</v>
      </c>
      <c r="N3" s="28">
        <f t="shared" ref="N3:N59" si="3">E3+F3+G3</f>
        <v>111298.47</v>
      </c>
      <c r="O3" s="2">
        <v>1</v>
      </c>
      <c r="P3" s="2">
        <v>1</v>
      </c>
      <c r="Q3" s="2">
        <v>1</v>
      </c>
      <c r="R3" s="2">
        <v>0</v>
      </c>
      <c r="S3" s="2">
        <v>0</v>
      </c>
      <c r="T3" s="2">
        <v>0</v>
      </c>
      <c r="U3" s="9">
        <v>4</v>
      </c>
      <c r="V3" s="9">
        <v>66</v>
      </c>
      <c r="W3" s="4">
        <v>101.19617</v>
      </c>
      <c r="X3" s="4" t="s">
        <v>140</v>
      </c>
      <c r="Y3" s="4">
        <f t="shared" ref="Y3:Y53" si="4">9/60</f>
        <v>0.15</v>
      </c>
      <c r="Z3" s="1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 s="4">
        <v>1</v>
      </c>
      <c r="AH3" s="4">
        <v>1</v>
      </c>
      <c r="AI3" s="16">
        <v>30</v>
      </c>
      <c r="AJ3" s="16">
        <v>10</v>
      </c>
      <c r="AK3" s="16">
        <v>96</v>
      </c>
      <c r="AL3" s="16">
        <v>0</v>
      </c>
      <c r="AM3" s="16">
        <v>0</v>
      </c>
      <c r="AN3" s="36">
        <v>0</v>
      </c>
      <c r="AO3" s="1">
        <v>0</v>
      </c>
    </row>
    <row r="4" spans="1:41" ht="32.1" customHeight="1" x14ac:dyDescent="0.15">
      <c r="A4" s="4" t="s">
        <v>7</v>
      </c>
      <c r="B4" s="10" t="s">
        <v>50</v>
      </c>
      <c r="C4" s="17">
        <f>32125.8/1.13</f>
        <v>28429.911504424781</v>
      </c>
      <c r="D4" s="17">
        <v>328</v>
      </c>
      <c r="E4" s="19">
        <f>C4+D4</f>
        <v>28757.911504424781</v>
      </c>
      <c r="F4" s="17">
        <f t="shared" si="0"/>
        <v>48902.048000000003</v>
      </c>
      <c r="G4" s="17">
        <f t="shared" si="1"/>
        <v>78352.351999999999</v>
      </c>
      <c r="H4" s="17">
        <f t="shared" ref="H4:H13" si="5">SUM(E4:G4)*0.04</f>
        <v>6240.4924601769917</v>
      </c>
      <c r="I4" s="17">
        <f t="shared" ref="I4:I13" si="6">SUM(E4:H4)*0.177</f>
        <v>28718.746301734511</v>
      </c>
      <c r="J4" s="19">
        <f t="shared" ref="J4:J13" si="7">SUM(E4:H4)*0.028</f>
        <v>4543.07851100885</v>
      </c>
      <c r="K4" s="19">
        <f t="shared" ref="K4:K13" si="8">SUM(E4:J4)</f>
        <v>195514.62877734512</v>
      </c>
      <c r="L4" s="9">
        <v>908.96</v>
      </c>
      <c r="M4" s="28">
        <f t="shared" si="2"/>
        <v>127254.39999999999</v>
      </c>
      <c r="N4" s="28">
        <f t="shared" si="3"/>
        <v>156012.31150442478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9">
        <v>3</v>
      </c>
      <c r="V4" s="9">
        <v>91</v>
      </c>
      <c r="W4" s="4">
        <v>101.19617</v>
      </c>
      <c r="X4" s="4" t="s">
        <v>140</v>
      </c>
      <c r="Y4" s="4">
        <f t="shared" si="4"/>
        <v>0.15</v>
      </c>
      <c r="Z4" s="1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 s="4">
        <v>1</v>
      </c>
      <c r="AH4" s="4">
        <v>1</v>
      </c>
      <c r="AI4" s="16">
        <v>30</v>
      </c>
      <c r="AJ4" s="16">
        <v>10</v>
      </c>
      <c r="AK4" s="16">
        <v>96</v>
      </c>
      <c r="AL4" s="16">
        <v>0</v>
      </c>
      <c r="AM4" s="16">
        <v>0</v>
      </c>
      <c r="AN4" s="36">
        <v>0</v>
      </c>
      <c r="AO4" s="1">
        <v>0</v>
      </c>
    </row>
    <row r="5" spans="1:41" ht="32.1" customHeight="1" x14ac:dyDescent="0.15">
      <c r="A5" s="4" t="s">
        <v>7</v>
      </c>
      <c r="B5" s="10" t="s">
        <v>51</v>
      </c>
      <c r="C5" s="17">
        <f>21881.07/1.13</f>
        <v>19363.778761061949</v>
      </c>
      <c r="D5" s="17">
        <v>276</v>
      </c>
      <c r="E5" s="19">
        <f>D5+C5</f>
        <v>19639.778761061949</v>
      </c>
      <c r="F5" s="17">
        <f t="shared" si="0"/>
        <v>29004.117999999999</v>
      </c>
      <c r="G5" s="17">
        <f t="shared" si="1"/>
        <v>46471.281999999999</v>
      </c>
      <c r="H5" s="17">
        <f t="shared" si="5"/>
        <v>3804.6071504424781</v>
      </c>
      <c r="I5" s="17">
        <f t="shared" si="6"/>
        <v>17508.802106336283</v>
      </c>
      <c r="J5" s="19">
        <f t="shared" si="7"/>
        <v>2769.7540055221239</v>
      </c>
      <c r="K5" s="19">
        <f t="shared" si="8"/>
        <v>119198.34202336283</v>
      </c>
      <c r="L5" s="9">
        <v>539.11</v>
      </c>
      <c r="M5" s="28">
        <f t="shared" si="2"/>
        <v>75475.399999999994</v>
      </c>
      <c r="N5" s="28">
        <f t="shared" si="3"/>
        <v>95115.17876106195</v>
      </c>
      <c r="O5" s="2">
        <v>1</v>
      </c>
      <c r="P5" s="2">
        <v>1</v>
      </c>
      <c r="Q5" s="2">
        <v>0</v>
      </c>
      <c r="R5" s="2">
        <v>0</v>
      </c>
      <c r="S5" s="2">
        <v>0</v>
      </c>
      <c r="T5" s="2">
        <v>0</v>
      </c>
      <c r="U5" s="9">
        <v>2</v>
      </c>
      <c r="V5" s="9">
        <v>91</v>
      </c>
      <c r="W5" s="4">
        <v>101.19617</v>
      </c>
      <c r="X5" s="4" t="s">
        <v>140</v>
      </c>
      <c r="Y5" s="4">
        <f t="shared" si="4"/>
        <v>0.15</v>
      </c>
      <c r="Z5" s="1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 s="4">
        <v>1</v>
      </c>
      <c r="AH5" s="4">
        <v>1</v>
      </c>
      <c r="AI5" s="16">
        <v>30</v>
      </c>
      <c r="AJ5" s="16">
        <v>10</v>
      </c>
      <c r="AK5" s="16">
        <v>96</v>
      </c>
      <c r="AL5" s="16">
        <v>0</v>
      </c>
      <c r="AM5" s="16">
        <v>0</v>
      </c>
      <c r="AN5" s="36">
        <v>0</v>
      </c>
      <c r="AO5" s="1">
        <v>0</v>
      </c>
    </row>
    <row r="6" spans="1:41" ht="32.1" customHeight="1" x14ac:dyDescent="0.15">
      <c r="A6" s="4" t="s">
        <v>7</v>
      </c>
      <c r="B6" s="10" t="s">
        <v>52</v>
      </c>
      <c r="C6" s="17">
        <f>21658/1.13</f>
        <v>19166.371681415931</v>
      </c>
      <c r="D6" s="17">
        <v>276</v>
      </c>
      <c r="E6" s="19">
        <f>D6+C6</f>
        <v>19442.371681415931</v>
      </c>
      <c r="F6" s="17">
        <f t="shared" si="0"/>
        <v>30078.504000000001</v>
      </c>
      <c r="G6" s="17">
        <f t="shared" si="1"/>
        <v>48192.696000000004</v>
      </c>
      <c r="H6" s="17">
        <f t="shared" si="5"/>
        <v>3908.5428672566372</v>
      </c>
      <c r="I6" s="17">
        <f t="shared" si="6"/>
        <v>17987.11427511504</v>
      </c>
      <c r="J6" s="19">
        <f t="shared" si="7"/>
        <v>2845.4192073628319</v>
      </c>
      <c r="K6" s="19">
        <f t="shared" si="8"/>
        <v>122454.64803115043</v>
      </c>
      <c r="L6" s="9">
        <v>559.08000000000004</v>
      </c>
      <c r="M6" s="28">
        <f t="shared" si="2"/>
        <v>78271.200000000012</v>
      </c>
      <c r="N6" s="28">
        <f t="shared" si="3"/>
        <v>97713.571681415924</v>
      </c>
      <c r="O6" s="2">
        <v>1</v>
      </c>
      <c r="P6" s="2">
        <v>1</v>
      </c>
      <c r="Q6" s="2">
        <v>0</v>
      </c>
      <c r="R6" s="2">
        <v>0</v>
      </c>
      <c r="S6" s="2">
        <v>0</v>
      </c>
      <c r="T6" s="2">
        <v>0</v>
      </c>
      <c r="U6" s="9">
        <v>2</v>
      </c>
      <c r="V6" s="9">
        <v>91</v>
      </c>
      <c r="W6" s="4">
        <v>101.19617</v>
      </c>
      <c r="X6" s="4" t="s">
        <v>140</v>
      </c>
      <c r="Y6" s="4">
        <f t="shared" si="4"/>
        <v>0.15</v>
      </c>
      <c r="Z6" s="1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 s="4">
        <v>1</v>
      </c>
      <c r="AH6" s="4">
        <v>1</v>
      </c>
      <c r="AI6" s="16">
        <v>30</v>
      </c>
      <c r="AJ6" s="16">
        <v>10</v>
      </c>
      <c r="AK6" s="16">
        <v>96</v>
      </c>
      <c r="AL6" s="16">
        <v>0</v>
      </c>
      <c r="AM6" s="16">
        <v>0</v>
      </c>
      <c r="AN6" s="36">
        <v>0</v>
      </c>
      <c r="AO6" s="1">
        <v>0</v>
      </c>
    </row>
    <row r="7" spans="1:41" ht="32.1" customHeight="1" x14ac:dyDescent="0.15">
      <c r="A7" s="4" t="s">
        <v>7</v>
      </c>
      <c r="B7" s="10" t="s">
        <v>53</v>
      </c>
      <c r="C7" s="17">
        <f>13137.33/1.13</f>
        <v>11625.955752212391</v>
      </c>
      <c r="D7" s="17">
        <f>540.9/1.13</f>
        <v>478.67256637168146</v>
      </c>
      <c r="E7" s="19">
        <f>D7+C7</f>
        <v>12104.628318584071</v>
      </c>
      <c r="F7" s="17">
        <f t="shared" si="0"/>
        <v>25333.881999999998</v>
      </c>
      <c r="G7" s="17">
        <f t="shared" si="1"/>
        <v>40590.718000000001</v>
      </c>
      <c r="H7" s="17">
        <f t="shared" si="5"/>
        <v>3121.1691327433628</v>
      </c>
      <c r="I7" s="17">
        <f t="shared" si="6"/>
        <v>14363.620348884955</v>
      </c>
      <c r="J7" s="19">
        <f t="shared" si="7"/>
        <v>2272.2111286371683</v>
      </c>
      <c r="K7" s="19">
        <f t="shared" si="8"/>
        <v>97786.228928849552</v>
      </c>
      <c r="L7" s="9">
        <v>470.89</v>
      </c>
      <c r="M7" s="28">
        <f t="shared" si="2"/>
        <v>65924.600000000006</v>
      </c>
      <c r="N7" s="28">
        <f t="shared" si="3"/>
        <v>78029.228318584064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9">
        <v>2</v>
      </c>
      <c r="V7" s="9">
        <v>75</v>
      </c>
      <c r="W7" s="4">
        <v>101.19617</v>
      </c>
      <c r="X7" s="4" t="s">
        <v>140</v>
      </c>
      <c r="Y7" s="4">
        <f t="shared" si="4"/>
        <v>0.15</v>
      </c>
      <c r="Z7" s="1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 s="4">
        <v>1</v>
      </c>
      <c r="AH7" s="4">
        <v>1</v>
      </c>
      <c r="AI7" s="16">
        <v>30</v>
      </c>
      <c r="AJ7" s="16">
        <v>10</v>
      </c>
      <c r="AK7" s="16">
        <v>96</v>
      </c>
      <c r="AL7" s="16">
        <v>0</v>
      </c>
      <c r="AM7" s="16">
        <v>0</v>
      </c>
      <c r="AN7" s="36">
        <v>0</v>
      </c>
      <c r="AO7" s="1">
        <v>0</v>
      </c>
    </row>
    <row r="8" spans="1:41" ht="32.1" customHeight="1" x14ac:dyDescent="0.15">
      <c r="A8" s="4" t="s">
        <v>7</v>
      </c>
      <c r="B8" s="10" t="s">
        <v>54</v>
      </c>
      <c r="C8" s="17">
        <f>17052.21/1.13</f>
        <v>15090.45132743363</v>
      </c>
      <c r="D8" s="17">
        <v>22960.318584070799</v>
      </c>
      <c r="E8" s="19">
        <f>D8+C8</f>
        <v>38050.769911504431</v>
      </c>
      <c r="F8" s="17">
        <f t="shared" si="0"/>
        <v>23522.436000000002</v>
      </c>
      <c r="G8" s="17">
        <f t="shared" si="1"/>
        <v>37688.364000000001</v>
      </c>
      <c r="H8" s="17">
        <f t="shared" si="5"/>
        <v>3970.4627964601773</v>
      </c>
      <c r="I8" s="17">
        <f t="shared" si="6"/>
        <v>18272.069789309735</v>
      </c>
      <c r="J8" s="19">
        <f t="shared" si="7"/>
        <v>2890.4969158230092</v>
      </c>
      <c r="K8" s="19">
        <f t="shared" si="8"/>
        <v>124394.59941309736</v>
      </c>
      <c r="L8" s="9">
        <v>437.22</v>
      </c>
      <c r="M8" s="28">
        <f t="shared" si="2"/>
        <v>61210.8</v>
      </c>
      <c r="N8" s="28">
        <f t="shared" si="3"/>
        <v>99261.569911504426</v>
      </c>
      <c r="O8" s="2">
        <v>1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9">
        <v>3</v>
      </c>
      <c r="V8" s="9">
        <v>75</v>
      </c>
      <c r="W8" s="4">
        <v>101.19617</v>
      </c>
      <c r="X8" s="4" t="s">
        <v>140</v>
      </c>
      <c r="Y8" s="4">
        <f t="shared" si="4"/>
        <v>0.15</v>
      </c>
      <c r="Z8" s="1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 s="4">
        <v>1</v>
      </c>
      <c r="AH8" s="4">
        <v>1</v>
      </c>
      <c r="AI8" s="16">
        <v>30</v>
      </c>
      <c r="AJ8" s="16">
        <v>10</v>
      </c>
      <c r="AK8" s="16">
        <v>96</v>
      </c>
      <c r="AL8" s="16">
        <v>0</v>
      </c>
      <c r="AM8" s="16">
        <v>0</v>
      </c>
      <c r="AN8" s="36">
        <v>0</v>
      </c>
      <c r="AO8" s="1">
        <v>0</v>
      </c>
    </row>
    <row r="9" spans="1:41" ht="32.1" customHeight="1" x14ac:dyDescent="0.15">
      <c r="A9" s="4" t="s">
        <v>7</v>
      </c>
      <c r="B9" s="10" t="s">
        <v>55</v>
      </c>
      <c r="C9" s="17">
        <v>28429.911504424781</v>
      </c>
      <c r="D9" s="17">
        <v>328</v>
      </c>
      <c r="E9" s="19">
        <f t="shared" ref="E9:E12" si="9">D9+C9</f>
        <v>28757.911504424781</v>
      </c>
      <c r="F9" s="17">
        <f t="shared" si="0"/>
        <v>34809.675999999999</v>
      </c>
      <c r="G9" s="17">
        <f t="shared" si="1"/>
        <v>55773.124000000003</v>
      </c>
      <c r="H9" s="17">
        <f t="shared" si="5"/>
        <v>4773.6284601769912</v>
      </c>
      <c r="I9" s="17">
        <f t="shared" si="6"/>
        <v>21968.238173734509</v>
      </c>
      <c r="J9" s="19">
        <f t="shared" si="7"/>
        <v>3475.2015190088496</v>
      </c>
      <c r="K9" s="19">
        <f t="shared" si="8"/>
        <v>149557.77965734512</v>
      </c>
      <c r="L9" s="9">
        <v>647.02</v>
      </c>
      <c r="M9" s="28">
        <f t="shared" si="2"/>
        <v>90582.8</v>
      </c>
      <c r="N9" s="28">
        <f t="shared" si="3"/>
        <v>119340.71150442478</v>
      </c>
      <c r="O9" s="2">
        <v>1</v>
      </c>
      <c r="P9" s="2">
        <v>1</v>
      </c>
      <c r="Q9" s="2">
        <v>0</v>
      </c>
      <c r="R9" s="2">
        <v>0</v>
      </c>
      <c r="S9" s="2">
        <v>0</v>
      </c>
      <c r="T9" s="2">
        <v>0</v>
      </c>
      <c r="U9" s="9">
        <v>3</v>
      </c>
      <c r="V9" s="9">
        <v>91</v>
      </c>
      <c r="W9" s="4">
        <v>101.19617</v>
      </c>
      <c r="X9" s="4" t="s">
        <v>140</v>
      </c>
      <c r="Y9" s="4">
        <f t="shared" si="4"/>
        <v>0.15</v>
      </c>
      <c r="Z9" s="1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 s="4">
        <v>1</v>
      </c>
      <c r="AH9" s="4">
        <v>1</v>
      </c>
      <c r="AI9" s="16">
        <v>30</v>
      </c>
      <c r="AJ9" s="16">
        <v>15</v>
      </c>
      <c r="AK9" s="16">
        <v>96</v>
      </c>
      <c r="AL9" s="16">
        <v>3.5</v>
      </c>
      <c r="AM9" s="16">
        <v>3.5</v>
      </c>
      <c r="AN9" s="36">
        <v>0</v>
      </c>
      <c r="AO9" s="1">
        <v>0</v>
      </c>
    </row>
    <row r="10" spans="1:41" ht="32.1" customHeight="1" x14ac:dyDescent="0.15">
      <c r="A10" s="4" t="s">
        <v>7</v>
      </c>
      <c r="B10" s="10" t="s">
        <v>56</v>
      </c>
      <c r="C10" s="17">
        <v>19363.778761061949</v>
      </c>
      <c r="D10" s="17">
        <v>276</v>
      </c>
      <c r="E10" s="19">
        <f t="shared" si="9"/>
        <v>19639.778761061949</v>
      </c>
      <c r="F10" s="17">
        <f t="shared" si="0"/>
        <v>26706.858</v>
      </c>
      <c r="G10" s="17">
        <f t="shared" si="1"/>
        <v>42790.542000000001</v>
      </c>
      <c r="H10" s="17">
        <f t="shared" si="5"/>
        <v>3565.4871504424782</v>
      </c>
      <c r="I10" s="17">
        <f t="shared" si="6"/>
        <v>16408.371866336285</v>
      </c>
      <c r="J10" s="19">
        <f t="shared" si="7"/>
        <v>2595.6746455221241</v>
      </c>
      <c r="K10" s="19">
        <f t="shared" si="8"/>
        <v>111706.71242336284</v>
      </c>
      <c r="L10" s="9">
        <v>496.41</v>
      </c>
      <c r="M10" s="28">
        <f t="shared" si="2"/>
        <v>69497.399999999994</v>
      </c>
      <c r="N10" s="28">
        <f t="shared" si="3"/>
        <v>89137.17876106195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9">
        <v>2</v>
      </c>
      <c r="V10" s="9">
        <v>91</v>
      </c>
      <c r="W10" s="4">
        <v>101.19617</v>
      </c>
      <c r="X10" s="4" t="s">
        <v>140</v>
      </c>
      <c r="Y10" s="4">
        <f t="shared" si="4"/>
        <v>0.15</v>
      </c>
      <c r="Z10" s="1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s="4">
        <v>1</v>
      </c>
      <c r="AH10" s="4">
        <v>1</v>
      </c>
      <c r="AI10" s="16">
        <v>30</v>
      </c>
      <c r="AJ10" s="16">
        <v>15</v>
      </c>
      <c r="AK10" s="16">
        <v>96</v>
      </c>
      <c r="AL10" s="16">
        <v>3.5</v>
      </c>
      <c r="AM10" s="16">
        <v>3.5</v>
      </c>
      <c r="AN10" s="36">
        <v>0</v>
      </c>
      <c r="AO10" s="1">
        <v>0</v>
      </c>
    </row>
    <row r="11" spans="1:41" ht="32.1" customHeight="1" x14ac:dyDescent="0.15">
      <c r="A11" s="4" t="s">
        <v>7</v>
      </c>
      <c r="B11" s="10" t="s">
        <v>57</v>
      </c>
      <c r="C11" s="17">
        <v>19166.371681415931</v>
      </c>
      <c r="D11" s="17">
        <v>276</v>
      </c>
      <c r="E11" s="19">
        <f t="shared" si="9"/>
        <v>19442.371681415931</v>
      </c>
      <c r="F11" s="17">
        <f t="shared" si="0"/>
        <v>27414.327999999998</v>
      </c>
      <c r="G11" s="17">
        <f t="shared" si="1"/>
        <v>43924.072</v>
      </c>
      <c r="H11" s="17">
        <f t="shared" si="5"/>
        <v>3631.2308672566373</v>
      </c>
      <c r="I11" s="17">
        <f t="shared" si="6"/>
        <v>16710.924451115046</v>
      </c>
      <c r="J11" s="19">
        <f t="shared" si="7"/>
        <v>2643.5360713628324</v>
      </c>
      <c r="K11" s="19">
        <f t="shared" si="8"/>
        <v>113766.46307115046</v>
      </c>
      <c r="L11" s="9">
        <v>509.56</v>
      </c>
      <c r="M11" s="28">
        <f t="shared" si="2"/>
        <v>71338.399999999994</v>
      </c>
      <c r="N11" s="28">
        <f t="shared" si="3"/>
        <v>90780.771681415936</v>
      </c>
      <c r="O11" s="2">
        <v>1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9">
        <v>2</v>
      </c>
      <c r="V11" s="9">
        <v>91</v>
      </c>
      <c r="W11" s="4">
        <v>101.19617</v>
      </c>
      <c r="X11" s="4" t="s">
        <v>140</v>
      </c>
      <c r="Y11" s="4">
        <f t="shared" si="4"/>
        <v>0.15</v>
      </c>
      <c r="Z11" s="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 s="4">
        <v>1</v>
      </c>
      <c r="AH11" s="4">
        <v>1</v>
      </c>
      <c r="AI11" s="16">
        <v>30</v>
      </c>
      <c r="AJ11" s="16">
        <v>15</v>
      </c>
      <c r="AK11" s="16">
        <v>96</v>
      </c>
      <c r="AL11" s="16">
        <v>3.5</v>
      </c>
      <c r="AM11" s="16">
        <v>3.5</v>
      </c>
      <c r="AN11" s="36">
        <v>0</v>
      </c>
      <c r="AO11" s="1">
        <v>0</v>
      </c>
    </row>
    <row r="12" spans="1:41" ht="32.1" customHeight="1" x14ac:dyDescent="0.15">
      <c r="A12" s="4" t="s">
        <v>7</v>
      </c>
      <c r="B12" s="10" t="s">
        <v>58</v>
      </c>
      <c r="C12" s="17">
        <v>11625.955752212391</v>
      </c>
      <c r="D12" s="17">
        <v>478.67256637168146</v>
      </c>
      <c r="E12" s="19">
        <f t="shared" si="9"/>
        <v>12104.628318584071</v>
      </c>
      <c r="F12" s="17">
        <f t="shared" si="0"/>
        <v>22244.686000000002</v>
      </c>
      <c r="G12" s="17">
        <f t="shared" si="1"/>
        <v>35641.114000000001</v>
      </c>
      <c r="H12" s="17">
        <f t="shared" si="5"/>
        <v>2799.6171327433631</v>
      </c>
      <c r="I12" s="17">
        <f t="shared" si="6"/>
        <v>12883.838044884957</v>
      </c>
      <c r="J12" s="19">
        <f t="shared" si="7"/>
        <v>2038.1212726371684</v>
      </c>
      <c r="K12" s="19">
        <f t="shared" si="8"/>
        <v>87712.004768849569</v>
      </c>
      <c r="L12" s="9">
        <v>413.47</v>
      </c>
      <c r="M12" s="28">
        <f t="shared" si="2"/>
        <v>57885.8</v>
      </c>
      <c r="N12" s="28">
        <f t="shared" si="3"/>
        <v>69990.428318584076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9">
        <v>2</v>
      </c>
      <c r="V12" s="9">
        <v>75</v>
      </c>
      <c r="W12" s="4">
        <v>101.19617</v>
      </c>
      <c r="X12" s="4" t="s">
        <v>140</v>
      </c>
      <c r="Y12" s="4">
        <f t="shared" si="4"/>
        <v>0.15</v>
      </c>
      <c r="Z12" s="1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 s="4">
        <v>1</v>
      </c>
      <c r="AH12" s="4">
        <v>1</v>
      </c>
      <c r="AI12" s="16">
        <v>30</v>
      </c>
      <c r="AJ12" s="16">
        <v>15</v>
      </c>
      <c r="AK12" s="16">
        <v>96</v>
      </c>
      <c r="AL12" s="16">
        <v>3.5</v>
      </c>
      <c r="AM12" s="16">
        <v>3.5</v>
      </c>
      <c r="AN12" s="36">
        <v>0</v>
      </c>
      <c r="AO12" s="1">
        <v>0</v>
      </c>
    </row>
    <row r="13" spans="1:41" ht="32.1" customHeight="1" x14ac:dyDescent="0.15">
      <c r="A13" s="4" t="s">
        <v>7</v>
      </c>
      <c r="B13" s="10" t="s">
        <v>59</v>
      </c>
      <c r="C13" s="17">
        <v>15090.45132743363</v>
      </c>
      <c r="D13" s="17">
        <v>22960.318584070799</v>
      </c>
      <c r="E13" s="19">
        <f>D13+C13</f>
        <v>38050.769911504431</v>
      </c>
      <c r="F13" s="17">
        <f t="shared" si="0"/>
        <v>23467.021999999997</v>
      </c>
      <c r="G13" s="17">
        <f t="shared" si="1"/>
        <v>37599.578000000001</v>
      </c>
      <c r="H13" s="17">
        <f t="shared" si="5"/>
        <v>3964.6947964601773</v>
      </c>
      <c r="I13" s="17">
        <f t="shared" si="6"/>
        <v>18245.525453309732</v>
      </c>
      <c r="J13" s="19">
        <f t="shared" si="7"/>
        <v>2886.2978118230089</v>
      </c>
      <c r="K13" s="19">
        <f t="shared" si="8"/>
        <v>124213.88797309734</v>
      </c>
      <c r="L13" s="9">
        <v>436.19</v>
      </c>
      <c r="M13" s="28">
        <f t="shared" si="2"/>
        <v>61066.6</v>
      </c>
      <c r="N13" s="28">
        <f t="shared" si="3"/>
        <v>99117.369911504429</v>
      </c>
      <c r="O13" s="2">
        <v>1</v>
      </c>
      <c r="P13" s="2">
        <v>1</v>
      </c>
      <c r="Q13" s="2">
        <v>1</v>
      </c>
      <c r="R13" s="2">
        <v>0</v>
      </c>
      <c r="S13" s="2">
        <v>0</v>
      </c>
      <c r="T13" s="2">
        <v>0</v>
      </c>
      <c r="U13" s="9">
        <v>3</v>
      </c>
      <c r="V13" s="9">
        <v>75</v>
      </c>
      <c r="W13" s="4">
        <v>101.19617</v>
      </c>
      <c r="X13" s="4" t="s">
        <v>140</v>
      </c>
      <c r="Y13" s="4">
        <f t="shared" si="4"/>
        <v>0.15</v>
      </c>
      <c r="Z13" s="1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s="4">
        <v>1</v>
      </c>
      <c r="AH13" s="4">
        <v>1</v>
      </c>
      <c r="AI13" s="16">
        <v>30</v>
      </c>
      <c r="AJ13" s="16">
        <v>15</v>
      </c>
      <c r="AK13" s="16">
        <v>96</v>
      </c>
      <c r="AL13" s="16">
        <v>3.5</v>
      </c>
      <c r="AM13" s="16">
        <v>3.5</v>
      </c>
      <c r="AN13" s="36">
        <v>0</v>
      </c>
      <c r="AO13" s="1">
        <v>0</v>
      </c>
    </row>
    <row r="14" spans="1:41" ht="32.1" customHeight="1" x14ac:dyDescent="0.15">
      <c r="A14" s="4" t="s">
        <v>7</v>
      </c>
      <c r="B14" s="10" t="s">
        <v>60</v>
      </c>
      <c r="C14" s="17">
        <v>18427.740000000002</v>
      </c>
      <c r="D14" s="17">
        <v>952.22</v>
      </c>
      <c r="E14" s="19">
        <f t="shared" ref="E14:E40" si="10">D14+C14</f>
        <v>19379.960000000003</v>
      </c>
      <c r="F14" s="17">
        <f t="shared" si="0"/>
        <v>34218.413999999997</v>
      </c>
      <c r="G14" s="17">
        <f t="shared" si="1"/>
        <v>54825.786</v>
      </c>
      <c r="H14" s="17">
        <f t="shared" ref="H14:H40" si="11">SUM(E14:G14)*0.04</f>
        <v>4336.9664000000002</v>
      </c>
      <c r="I14" s="17">
        <f t="shared" ref="I14:I40" si="12">SUM(E14:H14)*0.177</f>
        <v>19958.719372800002</v>
      </c>
      <c r="J14" s="19">
        <f t="shared" ref="J14:J40" si="13">SUM(E14:H14)*0.028</f>
        <v>3157.3115392000004</v>
      </c>
      <c r="K14" s="19">
        <f t="shared" ref="K14:K40" si="14">SUM(E14:J14)</f>
        <v>135877.157312</v>
      </c>
      <c r="L14" s="9">
        <v>636.03</v>
      </c>
      <c r="M14" s="28">
        <f t="shared" si="2"/>
        <v>89044.2</v>
      </c>
      <c r="N14" s="28">
        <f t="shared" si="3"/>
        <v>108424.16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0</v>
      </c>
      <c r="U14" s="9">
        <v>2</v>
      </c>
      <c r="V14" s="9">
        <v>100</v>
      </c>
      <c r="W14" s="4">
        <v>344.98694</v>
      </c>
      <c r="X14" s="4" t="s">
        <v>140</v>
      </c>
      <c r="Y14" s="4">
        <f t="shared" si="4"/>
        <v>0.15</v>
      </c>
      <c r="Z14" s="1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 s="4">
        <v>1</v>
      </c>
      <c r="AH14" s="4">
        <v>1</v>
      </c>
      <c r="AI14" s="16">
        <v>30</v>
      </c>
      <c r="AJ14" s="16">
        <v>15</v>
      </c>
      <c r="AK14" s="37">
        <v>240</v>
      </c>
      <c r="AL14" s="16">
        <v>3.5</v>
      </c>
      <c r="AM14" s="16">
        <v>3.5</v>
      </c>
      <c r="AN14" s="35">
        <v>1</v>
      </c>
      <c r="AO14" s="1">
        <v>0</v>
      </c>
    </row>
    <row r="15" spans="1:41" ht="32.1" customHeight="1" x14ac:dyDescent="0.15">
      <c r="A15" s="4" t="s">
        <v>7</v>
      </c>
      <c r="B15" s="10" t="s">
        <v>29</v>
      </c>
      <c r="C15" s="17">
        <v>20377.82</v>
      </c>
      <c r="D15" s="17">
        <v>680.42</v>
      </c>
      <c r="E15" s="19">
        <f t="shared" si="10"/>
        <v>21058.239999999998</v>
      </c>
      <c r="F15" s="17">
        <f t="shared" si="0"/>
        <v>32756.13</v>
      </c>
      <c r="G15" s="17">
        <f t="shared" si="1"/>
        <v>52482.87</v>
      </c>
      <c r="H15" s="17">
        <f t="shared" si="11"/>
        <v>4251.8895999999995</v>
      </c>
      <c r="I15" s="17">
        <f t="shared" si="12"/>
        <v>19567.195939199995</v>
      </c>
      <c r="J15" s="19">
        <f t="shared" si="13"/>
        <v>3095.3756287999995</v>
      </c>
      <c r="K15" s="19">
        <f t="shared" si="14"/>
        <v>133211.70116799997</v>
      </c>
      <c r="L15" s="9">
        <v>608.85</v>
      </c>
      <c r="M15" s="28">
        <f t="shared" si="2"/>
        <v>85239</v>
      </c>
      <c r="N15" s="28">
        <f t="shared" si="3"/>
        <v>106297.23999999999</v>
      </c>
      <c r="O15" s="2">
        <v>1</v>
      </c>
      <c r="P15" s="2">
        <v>1</v>
      </c>
      <c r="Q15" s="2">
        <v>0</v>
      </c>
      <c r="R15" s="2">
        <v>0</v>
      </c>
      <c r="S15" s="2">
        <v>0</v>
      </c>
      <c r="T15" s="2">
        <v>0</v>
      </c>
      <c r="U15" s="9">
        <v>3</v>
      </c>
      <c r="V15" s="9">
        <v>75</v>
      </c>
      <c r="W15" s="4">
        <v>344.98694</v>
      </c>
      <c r="X15" s="4" t="s">
        <v>140</v>
      </c>
      <c r="Y15" s="4">
        <f t="shared" si="4"/>
        <v>0.15</v>
      </c>
      <c r="Z15" s="1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 s="4">
        <v>1</v>
      </c>
      <c r="AH15" s="4">
        <v>1</v>
      </c>
      <c r="AI15" s="16">
        <v>30</v>
      </c>
      <c r="AJ15" s="16">
        <v>15</v>
      </c>
      <c r="AK15" s="37">
        <v>240</v>
      </c>
      <c r="AL15" s="16">
        <v>3.5</v>
      </c>
      <c r="AM15" s="16">
        <v>3.5</v>
      </c>
      <c r="AN15" s="35">
        <v>1</v>
      </c>
      <c r="AO15" s="1">
        <v>0</v>
      </c>
    </row>
    <row r="16" spans="1:41" ht="32.1" customHeight="1" x14ac:dyDescent="0.15">
      <c r="A16" s="4" t="s">
        <v>7</v>
      </c>
      <c r="B16" s="10" t="s">
        <v>61</v>
      </c>
      <c r="C16" s="17">
        <v>32539.37</v>
      </c>
      <c r="D16" s="17">
        <v>28732.85</v>
      </c>
      <c r="E16" s="19">
        <f t="shared" si="10"/>
        <v>61272.22</v>
      </c>
      <c r="F16" s="17">
        <f t="shared" si="0"/>
        <v>62355.813999999998</v>
      </c>
      <c r="G16" s="17">
        <f t="shared" si="1"/>
        <v>99908.385999999999</v>
      </c>
      <c r="H16" s="17">
        <f t="shared" si="11"/>
        <v>8941.4567999999999</v>
      </c>
      <c r="I16" s="17">
        <f t="shared" si="12"/>
        <v>41148.584193599992</v>
      </c>
      <c r="J16" s="19">
        <f t="shared" si="13"/>
        <v>6509.3805503999993</v>
      </c>
      <c r="K16" s="19">
        <f t="shared" si="14"/>
        <v>280135.84154399997</v>
      </c>
      <c r="L16" s="9">
        <v>1159.03</v>
      </c>
      <c r="M16" s="28">
        <f t="shared" si="2"/>
        <v>162264.20000000001</v>
      </c>
      <c r="N16" s="28">
        <f t="shared" si="3"/>
        <v>223536.41999999998</v>
      </c>
      <c r="O16" s="2">
        <v>1</v>
      </c>
      <c r="P16" s="2">
        <v>1</v>
      </c>
      <c r="Q16" s="2">
        <v>1</v>
      </c>
      <c r="R16" s="2">
        <v>1</v>
      </c>
      <c r="S16" s="2">
        <v>0</v>
      </c>
      <c r="T16" s="2">
        <v>0</v>
      </c>
      <c r="U16" s="9">
        <v>7</v>
      </c>
      <c r="V16" s="9">
        <v>66</v>
      </c>
      <c r="W16" s="4">
        <v>344.98694</v>
      </c>
      <c r="X16" s="4" t="s">
        <v>140</v>
      </c>
      <c r="Y16" s="4">
        <f t="shared" si="4"/>
        <v>0.15</v>
      </c>
      <c r="Z16" s="1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 s="4">
        <v>1</v>
      </c>
      <c r="AH16" s="4">
        <v>1</v>
      </c>
      <c r="AI16" s="16">
        <v>30</v>
      </c>
      <c r="AJ16" s="16">
        <v>15</v>
      </c>
      <c r="AK16" s="37">
        <v>240</v>
      </c>
      <c r="AL16" s="16">
        <v>3.5</v>
      </c>
      <c r="AM16" s="16">
        <v>3.5</v>
      </c>
      <c r="AN16" s="35">
        <v>1</v>
      </c>
      <c r="AO16" s="1">
        <v>0</v>
      </c>
    </row>
    <row r="17" spans="1:41" ht="32.1" customHeight="1" x14ac:dyDescent="0.15">
      <c r="A17" s="4" t="s">
        <v>7</v>
      </c>
      <c r="B17" s="10" t="s">
        <v>62</v>
      </c>
      <c r="C17" s="17">
        <v>11383.11</v>
      </c>
      <c r="D17" s="17">
        <v>585.65</v>
      </c>
      <c r="E17" s="19">
        <f t="shared" si="10"/>
        <v>11968.76</v>
      </c>
      <c r="F17" s="17">
        <f t="shared" si="0"/>
        <v>15032.796</v>
      </c>
      <c r="G17" s="17">
        <f t="shared" si="1"/>
        <v>24086.004000000001</v>
      </c>
      <c r="H17" s="17">
        <f t="shared" si="11"/>
        <v>2043.5023999999999</v>
      </c>
      <c r="I17" s="17">
        <f t="shared" si="12"/>
        <v>9404.1980447999995</v>
      </c>
      <c r="J17" s="19">
        <f t="shared" si="13"/>
        <v>1487.6697471999998</v>
      </c>
      <c r="K17" s="19">
        <f t="shared" si="14"/>
        <v>64022.930191999993</v>
      </c>
      <c r="L17" s="9">
        <v>279.42</v>
      </c>
      <c r="M17" s="28">
        <f t="shared" si="2"/>
        <v>39118.800000000003</v>
      </c>
      <c r="N17" s="28">
        <f t="shared" si="3"/>
        <v>51087.56</v>
      </c>
      <c r="O17" s="2">
        <v>1</v>
      </c>
      <c r="P17" s="2">
        <v>1</v>
      </c>
      <c r="Q17" s="2">
        <v>0</v>
      </c>
      <c r="R17" s="2">
        <v>0</v>
      </c>
      <c r="S17" s="2">
        <v>0</v>
      </c>
      <c r="T17" s="2">
        <v>0</v>
      </c>
      <c r="U17" s="9">
        <v>1</v>
      </c>
      <c r="V17" s="9">
        <v>91</v>
      </c>
      <c r="W17" s="4">
        <v>150.70445000000001</v>
      </c>
      <c r="X17" s="4" t="s">
        <v>140</v>
      </c>
      <c r="Y17" s="4">
        <f t="shared" si="4"/>
        <v>0.15</v>
      </c>
      <c r="Z17" s="1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 s="4">
        <v>1</v>
      </c>
      <c r="AH17" s="4">
        <v>1</v>
      </c>
      <c r="AI17" s="16">
        <v>30</v>
      </c>
      <c r="AJ17" s="16">
        <v>15</v>
      </c>
      <c r="AK17" s="37">
        <v>240</v>
      </c>
      <c r="AL17" s="16">
        <v>3.5</v>
      </c>
      <c r="AM17" s="16">
        <v>3.5</v>
      </c>
      <c r="AN17" s="35">
        <v>1</v>
      </c>
      <c r="AO17" s="1">
        <v>0</v>
      </c>
    </row>
    <row r="18" spans="1:41" ht="32.1" customHeight="1" x14ac:dyDescent="0.15">
      <c r="A18" s="4" t="s">
        <v>7</v>
      </c>
      <c r="B18" s="10" t="s">
        <v>30</v>
      </c>
      <c r="C18" s="17">
        <v>13836.6</v>
      </c>
      <c r="D18" s="17">
        <v>15687.4</v>
      </c>
      <c r="E18" s="19">
        <f t="shared" si="10"/>
        <v>29524</v>
      </c>
      <c r="F18" s="17">
        <f t="shared" si="0"/>
        <v>29338.754000000001</v>
      </c>
      <c r="G18" s="17">
        <f t="shared" si="1"/>
        <v>47007.446000000004</v>
      </c>
      <c r="H18" s="17">
        <f t="shared" si="11"/>
        <v>4234.8080000000009</v>
      </c>
      <c r="I18" s="17">
        <f t="shared" si="12"/>
        <v>19488.586416000002</v>
      </c>
      <c r="J18" s="19">
        <f t="shared" si="13"/>
        <v>3082.9402240000004</v>
      </c>
      <c r="K18" s="19">
        <f t="shared" si="14"/>
        <v>132676.53464000003</v>
      </c>
      <c r="L18" s="9">
        <v>545.33000000000004</v>
      </c>
      <c r="M18" s="28">
        <f t="shared" si="2"/>
        <v>76346.200000000012</v>
      </c>
      <c r="N18" s="28">
        <f t="shared" si="3"/>
        <v>105870.20000000001</v>
      </c>
      <c r="O18" s="2">
        <v>1</v>
      </c>
      <c r="P18" s="2">
        <v>1</v>
      </c>
      <c r="Q18" s="2">
        <v>1</v>
      </c>
      <c r="R18" s="2">
        <v>0</v>
      </c>
      <c r="S18" s="2">
        <v>0</v>
      </c>
      <c r="T18" s="2">
        <v>0</v>
      </c>
      <c r="U18" s="9">
        <v>2</v>
      </c>
      <c r="V18" s="9">
        <v>91</v>
      </c>
      <c r="W18" s="4">
        <v>150.70445000000001</v>
      </c>
      <c r="X18" s="4" t="s">
        <v>140</v>
      </c>
      <c r="Y18" s="4">
        <f t="shared" si="4"/>
        <v>0.15</v>
      </c>
      <c r="Z18" s="1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4">
        <v>1</v>
      </c>
      <c r="AH18" s="4">
        <v>1</v>
      </c>
      <c r="AI18" s="16">
        <v>30</v>
      </c>
      <c r="AJ18" s="16">
        <v>15</v>
      </c>
      <c r="AK18" s="37">
        <v>240</v>
      </c>
      <c r="AL18" s="16">
        <v>3.5</v>
      </c>
      <c r="AM18" s="16">
        <v>3.5</v>
      </c>
      <c r="AN18" s="35">
        <v>1</v>
      </c>
      <c r="AO18" s="1">
        <v>0</v>
      </c>
    </row>
    <row r="19" spans="1:41" ht="32.1" customHeight="1" x14ac:dyDescent="0.15">
      <c r="A19" s="4" t="s">
        <v>7</v>
      </c>
      <c r="B19" s="10" t="s">
        <v>31</v>
      </c>
      <c r="C19" s="17">
        <v>16098.68</v>
      </c>
      <c r="D19" s="17">
        <v>15186.27</v>
      </c>
      <c r="E19" s="19">
        <f t="shared" si="10"/>
        <v>31284.95</v>
      </c>
      <c r="F19" s="17">
        <f t="shared" si="0"/>
        <v>20370.293999999998</v>
      </c>
      <c r="G19" s="17">
        <f t="shared" si="1"/>
        <v>32637.905999999999</v>
      </c>
      <c r="H19" s="17">
        <f t="shared" si="11"/>
        <v>3371.7259999999997</v>
      </c>
      <c r="I19" s="17">
        <f t="shared" si="12"/>
        <v>15516.683051999997</v>
      </c>
      <c r="J19" s="19">
        <f t="shared" si="13"/>
        <v>2454.6165279999996</v>
      </c>
      <c r="K19" s="19">
        <f t="shared" si="14"/>
        <v>105636.17557999998</v>
      </c>
      <c r="L19" s="9">
        <v>378.63</v>
      </c>
      <c r="M19" s="28">
        <f t="shared" si="2"/>
        <v>53008.2</v>
      </c>
      <c r="N19" s="28">
        <f t="shared" si="3"/>
        <v>84293.15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9">
        <v>2</v>
      </c>
      <c r="V19" s="9">
        <v>91</v>
      </c>
      <c r="W19" s="4">
        <v>150.70445000000001</v>
      </c>
      <c r="X19" s="4" t="s">
        <v>140</v>
      </c>
      <c r="Y19" s="4">
        <f t="shared" si="4"/>
        <v>0.15</v>
      </c>
      <c r="Z19" s="1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 s="4">
        <v>1</v>
      </c>
      <c r="AH19" s="4">
        <v>1</v>
      </c>
      <c r="AI19" s="16">
        <v>30</v>
      </c>
      <c r="AJ19" s="16">
        <v>15</v>
      </c>
      <c r="AK19" s="37">
        <v>240</v>
      </c>
      <c r="AL19" s="16">
        <v>3.5</v>
      </c>
      <c r="AM19" s="16">
        <v>3.5</v>
      </c>
      <c r="AN19" s="35">
        <v>1</v>
      </c>
      <c r="AO19" s="1">
        <v>0</v>
      </c>
    </row>
    <row r="20" spans="1:41" ht="32.1" customHeight="1" x14ac:dyDescent="0.15">
      <c r="A20" s="4" t="s">
        <v>7</v>
      </c>
      <c r="B20" s="10" t="s">
        <v>32</v>
      </c>
      <c r="C20" s="17">
        <v>17984.28</v>
      </c>
      <c r="D20" s="17">
        <v>736.7</v>
      </c>
      <c r="E20" s="19">
        <f t="shared" si="10"/>
        <v>18720.98</v>
      </c>
      <c r="F20" s="17">
        <f t="shared" si="0"/>
        <v>22869.841999999997</v>
      </c>
      <c r="G20" s="17">
        <f t="shared" si="1"/>
        <v>36642.758000000002</v>
      </c>
      <c r="H20" s="17">
        <f t="shared" si="11"/>
        <v>3129.3432000000003</v>
      </c>
      <c r="I20" s="17">
        <f t="shared" si="12"/>
        <v>14401.2374064</v>
      </c>
      <c r="J20" s="19">
        <f t="shared" si="13"/>
        <v>2278.1618496000001</v>
      </c>
      <c r="K20" s="19">
        <f t="shared" si="14"/>
        <v>98042.322456000009</v>
      </c>
      <c r="L20" s="9">
        <v>425.09</v>
      </c>
      <c r="M20" s="28">
        <f t="shared" si="2"/>
        <v>59512.6</v>
      </c>
      <c r="N20" s="28">
        <f t="shared" si="3"/>
        <v>78233.58</v>
      </c>
      <c r="O20" s="2">
        <v>1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9">
        <v>2</v>
      </c>
      <c r="V20" s="9">
        <v>91</v>
      </c>
      <c r="W20" s="4">
        <v>150.70445000000001</v>
      </c>
      <c r="X20" s="4" t="s">
        <v>140</v>
      </c>
      <c r="Y20" s="4">
        <f t="shared" si="4"/>
        <v>0.15</v>
      </c>
      <c r="Z20" s="1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 s="4">
        <v>1</v>
      </c>
      <c r="AH20" s="4">
        <v>1</v>
      </c>
      <c r="AI20" s="16">
        <v>30</v>
      </c>
      <c r="AJ20" s="16">
        <v>15</v>
      </c>
      <c r="AK20" s="37">
        <v>240</v>
      </c>
      <c r="AL20" s="16">
        <v>3.5</v>
      </c>
      <c r="AM20" s="16">
        <v>3.5</v>
      </c>
      <c r="AN20" s="35">
        <v>1</v>
      </c>
      <c r="AO20" s="1">
        <v>0</v>
      </c>
    </row>
    <row r="21" spans="1:41" ht="32.1" customHeight="1" x14ac:dyDescent="0.15">
      <c r="A21" s="4" t="s">
        <v>7</v>
      </c>
      <c r="B21" s="10" t="s">
        <v>33</v>
      </c>
      <c r="C21" s="17">
        <v>18593</v>
      </c>
      <c r="D21" s="17">
        <v>585.65</v>
      </c>
      <c r="E21" s="19">
        <f t="shared" si="10"/>
        <v>19178.650000000001</v>
      </c>
      <c r="F21" s="17">
        <f t="shared" si="0"/>
        <v>22081.671999999999</v>
      </c>
      <c r="G21" s="17">
        <f t="shared" si="1"/>
        <v>35379.928</v>
      </c>
      <c r="H21" s="17">
        <f t="shared" si="11"/>
        <v>3065.61</v>
      </c>
      <c r="I21" s="17">
        <f t="shared" si="12"/>
        <v>14107.93722</v>
      </c>
      <c r="J21" s="19">
        <f t="shared" si="13"/>
        <v>2231.7640799999999</v>
      </c>
      <c r="K21" s="19">
        <f t="shared" si="14"/>
        <v>96045.561300000001</v>
      </c>
      <c r="L21" s="9">
        <v>410.44</v>
      </c>
      <c r="M21" s="28">
        <f t="shared" si="2"/>
        <v>57461.599999999999</v>
      </c>
      <c r="N21" s="28">
        <f t="shared" si="3"/>
        <v>76640.25</v>
      </c>
      <c r="O21" s="2">
        <v>1</v>
      </c>
      <c r="P21" s="2">
        <v>1</v>
      </c>
      <c r="Q21" s="2">
        <v>0</v>
      </c>
      <c r="R21" s="2">
        <v>0</v>
      </c>
      <c r="S21" s="2">
        <v>0</v>
      </c>
      <c r="T21" s="2">
        <v>0</v>
      </c>
      <c r="U21" s="9">
        <v>2</v>
      </c>
      <c r="V21" s="9">
        <v>91</v>
      </c>
      <c r="W21" s="4">
        <v>150.70445000000001</v>
      </c>
      <c r="X21" s="4" t="s">
        <v>140</v>
      </c>
      <c r="Y21" s="4">
        <f t="shared" si="4"/>
        <v>0.15</v>
      </c>
      <c r="Z21" s="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s="4">
        <v>1</v>
      </c>
      <c r="AH21" s="4">
        <v>1</v>
      </c>
      <c r="AI21" s="16">
        <v>30</v>
      </c>
      <c r="AJ21" s="16">
        <v>15</v>
      </c>
      <c r="AK21" s="37">
        <v>240</v>
      </c>
      <c r="AL21" s="16">
        <v>3.5</v>
      </c>
      <c r="AM21" s="16">
        <v>3.5</v>
      </c>
      <c r="AN21" s="35">
        <v>1</v>
      </c>
      <c r="AO21" s="1">
        <v>0</v>
      </c>
    </row>
    <row r="22" spans="1:41" ht="32.1" customHeight="1" x14ac:dyDescent="0.15">
      <c r="A22" s="4" t="s">
        <v>9</v>
      </c>
      <c r="B22" s="10" t="s">
        <v>63</v>
      </c>
      <c r="C22" s="17">
        <v>17942.17522123894</v>
      </c>
      <c r="D22" s="17">
        <v>680.44</v>
      </c>
      <c r="E22" s="19">
        <f t="shared" si="10"/>
        <v>18622.615221238939</v>
      </c>
      <c r="F22" s="17">
        <f t="shared" si="0"/>
        <v>34306.107999999993</v>
      </c>
      <c r="G22" s="17">
        <f t="shared" si="1"/>
        <v>54966.292000000001</v>
      </c>
      <c r="H22" s="17">
        <f t="shared" si="11"/>
        <v>4315.8006088495576</v>
      </c>
      <c r="I22" s="17">
        <f t="shared" si="12"/>
        <v>19861.314401925662</v>
      </c>
      <c r="J22" s="19">
        <f t="shared" si="13"/>
        <v>3141.902843242478</v>
      </c>
      <c r="K22" s="19">
        <f t="shared" si="14"/>
        <v>135214.03307525665</v>
      </c>
      <c r="L22" s="9">
        <v>637.66</v>
      </c>
      <c r="M22" s="28">
        <f t="shared" si="2"/>
        <v>89272.4</v>
      </c>
      <c r="N22" s="28">
        <f t="shared" si="3"/>
        <v>107895.01522123894</v>
      </c>
      <c r="O22" s="2">
        <v>1</v>
      </c>
      <c r="P22" s="2">
        <v>1</v>
      </c>
      <c r="Q22" s="2">
        <v>0</v>
      </c>
      <c r="R22" s="2">
        <v>0</v>
      </c>
      <c r="S22" s="2">
        <v>0</v>
      </c>
      <c r="T22" s="2">
        <v>0</v>
      </c>
      <c r="U22" s="9">
        <v>3</v>
      </c>
      <c r="V22" s="9">
        <v>75</v>
      </c>
      <c r="W22" s="4">
        <v>344.988</v>
      </c>
      <c r="X22" s="4" t="s">
        <v>140</v>
      </c>
      <c r="Y22" s="4">
        <f t="shared" si="4"/>
        <v>0.15</v>
      </c>
      <c r="Z22" s="1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s="4">
        <v>1</v>
      </c>
      <c r="AH22" s="4">
        <v>1</v>
      </c>
      <c r="AI22" s="16">
        <v>30</v>
      </c>
      <c r="AJ22" s="16">
        <v>15</v>
      </c>
      <c r="AK22" s="37">
        <v>240</v>
      </c>
      <c r="AL22" s="16">
        <v>0</v>
      </c>
      <c r="AM22" s="16">
        <v>0</v>
      </c>
      <c r="AN22" s="35">
        <v>1</v>
      </c>
      <c r="AO22" s="1">
        <v>0</v>
      </c>
    </row>
    <row r="23" spans="1:41" ht="32.1" customHeight="1" x14ac:dyDescent="0.15">
      <c r="A23" s="4" t="s">
        <v>9</v>
      </c>
      <c r="B23" s="10" t="s">
        <v>35</v>
      </c>
      <c r="C23" s="17">
        <v>19004.453982300929</v>
      </c>
      <c r="D23" s="17">
        <v>680.44</v>
      </c>
      <c r="E23" s="19">
        <f t="shared" si="10"/>
        <v>19684.893982300928</v>
      </c>
      <c r="F23" s="17">
        <f t="shared" si="0"/>
        <v>42917.873999999996</v>
      </c>
      <c r="G23" s="17">
        <f t="shared" si="1"/>
        <v>68764.326000000001</v>
      </c>
      <c r="H23" s="17">
        <f t="shared" si="11"/>
        <v>5254.6837592920374</v>
      </c>
      <c r="I23" s="17">
        <f t="shared" si="12"/>
        <v>24182.054660261954</v>
      </c>
      <c r="J23" s="19">
        <f t="shared" si="13"/>
        <v>3825.4097767646031</v>
      </c>
      <c r="K23" s="19">
        <f t="shared" si="14"/>
        <v>164629.24217861952</v>
      </c>
      <c r="L23" s="9">
        <v>797.73</v>
      </c>
      <c r="M23" s="28">
        <f t="shared" si="2"/>
        <v>111682.2</v>
      </c>
      <c r="N23" s="28">
        <f t="shared" si="3"/>
        <v>131367.09398230092</v>
      </c>
      <c r="O23" s="2">
        <v>1</v>
      </c>
      <c r="P23" s="2">
        <v>1</v>
      </c>
      <c r="Q23" s="2">
        <v>0</v>
      </c>
      <c r="R23" s="2">
        <v>0</v>
      </c>
      <c r="S23" s="2">
        <v>0</v>
      </c>
      <c r="T23" s="2">
        <v>0</v>
      </c>
      <c r="U23" s="9">
        <v>3</v>
      </c>
      <c r="V23" s="9">
        <v>75</v>
      </c>
      <c r="W23" s="4">
        <v>344.988</v>
      </c>
      <c r="X23" s="4" t="s">
        <v>140</v>
      </c>
      <c r="Y23" s="4">
        <f t="shared" si="4"/>
        <v>0.15</v>
      </c>
      <c r="Z23" s="1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 s="4">
        <v>1</v>
      </c>
      <c r="AH23" s="4">
        <v>1</v>
      </c>
      <c r="AI23" s="16">
        <v>30</v>
      </c>
      <c r="AJ23" s="16">
        <v>15</v>
      </c>
      <c r="AK23" s="37">
        <v>240</v>
      </c>
      <c r="AL23" s="16">
        <v>0</v>
      </c>
      <c r="AM23" s="16">
        <v>0</v>
      </c>
      <c r="AN23" s="35">
        <v>1</v>
      </c>
      <c r="AO23" s="1">
        <v>0</v>
      </c>
    </row>
    <row r="24" spans="1:41" ht="32.1" customHeight="1" x14ac:dyDescent="0.15">
      <c r="A24" s="4" t="s">
        <v>9</v>
      </c>
      <c r="B24" s="10" t="s">
        <v>36</v>
      </c>
      <c r="C24" s="17">
        <v>22961.596415929238</v>
      </c>
      <c r="D24" s="17">
        <v>17849.91</v>
      </c>
      <c r="E24" s="19">
        <f t="shared" si="10"/>
        <v>40811.506415929238</v>
      </c>
      <c r="F24" s="17">
        <f t="shared" si="0"/>
        <v>51998.237999999998</v>
      </c>
      <c r="G24" s="17">
        <f t="shared" si="1"/>
        <v>83313.161999999997</v>
      </c>
      <c r="H24" s="17">
        <f t="shared" si="11"/>
        <v>7044.9162566371697</v>
      </c>
      <c r="I24" s="17">
        <f t="shared" si="12"/>
        <v>32420.70461304425</v>
      </c>
      <c r="J24" s="19">
        <f t="shared" si="13"/>
        <v>5128.6990348318595</v>
      </c>
      <c r="K24" s="19">
        <f t="shared" si="14"/>
        <v>220717.22632044251</v>
      </c>
      <c r="L24" s="9">
        <v>966.51</v>
      </c>
      <c r="M24" s="28">
        <f t="shared" si="2"/>
        <v>135311.4</v>
      </c>
      <c r="N24" s="28">
        <f t="shared" si="3"/>
        <v>176122.90641592923</v>
      </c>
      <c r="O24" s="2">
        <v>1</v>
      </c>
      <c r="P24" s="2">
        <v>1</v>
      </c>
      <c r="Q24" s="2">
        <v>1</v>
      </c>
      <c r="R24" s="2">
        <v>0</v>
      </c>
      <c r="S24" s="2">
        <v>0</v>
      </c>
      <c r="T24" s="2">
        <v>0</v>
      </c>
      <c r="U24" s="9">
        <v>4</v>
      </c>
      <c r="V24" s="9">
        <v>75</v>
      </c>
      <c r="W24" s="4">
        <v>344.988</v>
      </c>
      <c r="X24" s="4" t="s">
        <v>140</v>
      </c>
      <c r="Y24" s="4">
        <f t="shared" si="4"/>
        <v>0.15</v>
      </c>
      <c r="Z24" s="1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 s="4">
        <v>1</v>
      </c>
      <c r="AH24" s="4">
        <v>1</v>
      </c>
      <c r="AI24" s="16">
        <v>30</v>
      </c>
      <c r="AJ24" s="16">
        <v>15</v>
      </c>
      <c r="AK24" s="37">
        <v>240</v>
      </c>
      <c r="AL24" s="16">
        <v>0</v>
      </c>
      <c r="AM24" s="16">
        <v>0</v>
      </c>
      <c r="AN24" s="35">
        <v>1</v>
      </c>
      <c r="AO24" s="1">
        <v>0</v>
      </c>
    </row>
    <row r="25" spans="1:41" ht="32.1" customHeight="1" x14ac:dyDescent="0.15">
      <c r="A25" s="4" t="s">
        <v>9</v>
      </c>
      <c r="B25" s="10" t="s">
        <v>64</v>
      </c>
      <c r="C25" s="29">
        <v>17942.17522123894</v>
      </c>
      <c r="D25" s="29">
        <v>680.44</v>
      </c>
      <c r="E25" s="19">
        <f t="shared" si="10"/>
        <v>18622.615221238939</v>
      </c>
      <c r="F25" s="17">
        <f t="shared" si="0"/>
        <v>33471.131999999998</v>
      </c>
      <c r="G25" s="17">
        <f t="shared" si="1"/>
        <v>53628.468000000001</v>
      </c>
      <c r="H25" s="17">
        <f t="shared" si="11"/>
        <v>4228.8886088495574</v>
      </c>
      <c r="I25" s="17">
        <f t="shared" si="12"/>
        <v>19461.345377925663</v>
      </c>
      <c r="J25" s="19">
        <f t="shared" si="13"/>
        <v>3078.6309072424779</v>
      </c>
      <c r="K25" s="19">
        <f t="shared" si="14"/>
        <v>132491.08011525666</v>
      </c>
      <c r="L25" s="9">
        <v>622.14</v>
      </c>
      <c r="M25" s="28">
        <f t="shared" si="2"/>
        <v>87099.6</v>
      </c>
      <c r="N25" s="28">
        <f t="shared" si="3"/>
        <v>105722.21522123893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9">
        <v>2</v>
      </c>
      <c r="V25" s="9">
        <v>75</v>
      </c>
      <c r="W25" s="4">
        <v>344.988</v>
      </c>
      <c r="X25" s="4" t="s">
        <v>140</v>
      </c>
      <c r="Y25" s="4">
        <f t="shared" si="4"/>
        <v>0.15</v>
      </c>
      <c r="Z25" s="1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 s="4">
        <v>1</v>
      </c>
      <c r="AH25" s="4">
        <v>1</v>
      </c>
      <c r="AI25" s="16">
        <v>30</v>
      </c>
      <c r="AJ25" s="16">
        <v>15</v>
      </c>
      <c r="AK25" s="37">
        <v>240</v>
      </c>
      <c r="AL25" s="16">
        <v>0</v>
      </c>
      <c r="AM25" s="16">
        <v>0</v>
      </c>
      <c r="AN25" s="35">
        <v>1</v>
      </c>
      <c r="AO25" s="1">
        <v>0</v>
      </c>
    </row>
    <row r="26" spans="1:41" ht="32.1" customHeight="1" x14ac:dyDescent="0.15">
      <c r="A26" s="4" t="s">
        <v>9</v>
      </c>
      <c r="B26" s="10" t="s">
        <v>65</v>
      </c>
      <c r="C26" s="29">
        <v>17942.17522123894</v>
      </c>
      <c r="D26" s="29">
        <v>680.44</v>
      </c>
      <c r="E26" s="19">
        <f t="shared" si="10"/>
        <v>18622.615221238939</v>
      </c>
      <c r="F26" s="17">
        <f t="shared" si="0"/>
        <v>33726.682000000001</v>
      </c>
      <c r="G26" s="17">
        <f t="shared" si="1"/>
        <v>54037.917999999998</v>
      </c>
      <c r="H26" s="17">
        <f t="shared" si="11"/>
        <v>4255.4886088495577</v>
      </c>
      <c r="I26" s="17">
        <f t="shared" si="12"/>
        <v>19583.758577925662</v>
      </c>
      <c r="J26" s="19">
        <f t="shared" si="13"/>
        <v>3097.9957072424777</v>
      </c>
      <c r="K26" s="19">
        <f t="shared" si="14"/>
        <v>133324.45811525662</v>
      </c>
      <c r="L26" s="9">
        <v>626.89</v>
      </c>
      <c r="M26" s="28">
        <f t="shared" si="2"/>
        <v>87764.6</v>
      </c>
      <c r="N26" s="28">
        <f t="shared" si="3"/>
        <v>106387.21522123893</v>
      </c>
      <c r="O26" s="2">
        <v>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9">
        <v>2</v>
      </c>
      <c r="V26" s="9">
        <v>75</v>
      </c>
      <c r="W26" s="4">
        <v>344.988</v>
      </c>
      <c r="X26" s="4" t="s">
        <v>140</v>
      </c>
      <c r="Y26" s="4">
        <f t="shared" si="4"/>
        <v>0.15</v>
      </c>
      <c r="Z26" s="1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 s="4">
        <v>1</v>
      </c>
      <c r="AH26" s="4">
        <v>1</v>
      </c>
      <c r="AI26" s="16">
        <v>30</v>
      </c>
      <c r="AJ26" s="16">
        <v>15</v>
      </c>
      <c r="AK26" s="37">
        <v>240</v>
      </c>
      <c r="AL26" s="16">
        <v>0</v>
      </c>
      <c r="AM26" s="16">
        <v>0</v>
      </c>
      <c r="AN26" s="35">
        <v>1</v>
      </c>
      <c r="AO26" s="1">
        <v>0</v>
      </c>
    </row>
    <row r="27" spans="1:41" ht="32.1" customHeight="1" x14ac:dyDescent="0.15">
      <c r="A27" s="4" t="s">
        <v>7</v>
      </c>
      <c r="B27" s="10" t="s">
        <v>66</v>
      </c>
      <c r="C27" s="29">
        <v>11061.325087610623</v>
      </c>
      <c r="D27" s="29">
        <v>494.69026548672571</v>
      </c>
      <c r="E27" s="19">
        <f t="shared" si="10"/>
        <v>11556.015353097349</v>
      </c>
      <c r="F27" s="17">
        <f t="shared" si="0"/>
        <v>22441.056</v>
      </c>
      <c r="G27" s="17">
        <f t="shared" si="1"/>
        <v>35955.743999999999</v>
      </c>
      <c r="H27" s="17">
        <f t="shared" si="11"/>
        <v>2798.1126141238942</v>
      </c>
      <c r="I27" s="17">
        <f t="shared" si="12"/>
        <v>12876.914250198159</v>
      </c>
      <c r="J27" s="19">
        <f t="shared" si="13"/>
        <v>2037.0259830821949</v>
      </c>
      <c r="K27" s="19">
        <f t="shared" si="14"/>
        <v>87664.868200501587</v>
      </c>
      <c r="L27" s="9">
        <v>417.12</v>
      </c>
      <c r="M27" s="28">
        <f t="shared" si="2"/>
        <v>58396.800000000003</v>
      </c>
      <c r="N27" s="28">
        <f t="shared" si="3"/>
        <v>69952.81535309735</v>
      </c>
      <c r="O27" s="2">
        <v>1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9">
        <v>1</v>
      </c>
      <c r="V27" s="9">
        <v>91</v>
      </c>
      <c r="W27" s="4">
        <v>150.69999999999999</v>
      </c>
      <c r="X27" s="4" t="s">
        <v>140</v>
      </c>
      <c r="Y27" s="4">
        <f t="shared" si="4"/>
        <v>0.15</v>
      </c>
      <c r="Z27" s="1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 s="4">
        <v>1</v>
      </c>
      <c r="AH27" s="4">
        <v>1</v>
      </c>
      <c r="AI27" s="16">
        <v>30</v>
      </c>
      <c r="AJ27" s="16">
        <v>10</v>
      </c>
      <c r="AK27" s="37">
        <v>240</v>
      </c>
      <c r="AL27" s="16">
        <v>3.5</v>
      </c>
      <c r="AM27" s="16">
        <v>3.5</v>
      </c>
      <c r="AN27" s="35">
        <v>1</v>
      </c>
      <c r="AO27" s="1">
        <v>0</v>
      </c>
    </row>
    <row r="28" spans="1:41" ht="32.1" customHeight="1" x14ac:dyDescent="0.15">
      <c r="A28" s="4" t="s">
        <v>7</v>
      </c>
      <c r="B28" s="10" t="s">
        <v>46</v>
      </c>
      <c r="C28" s="30">
        <v>19706.323499999995</v>
      </c>
      <c r="D28" s="29">
        <v>485.84070796460179</v>
      </c>
      <c r="E28" s="19">
        <f t="shared" si="10"/>
        <v>20192.164207964597</v>
      </c>
      <c r="F28" s="17">
        <f t="shared" si="0"/>
        <v>32180.469999999998</v>
      </c>
      <c r="G28" s="17">
        <f t="shared" si="1"/>
        <v>51560.53</v>
      </c>
      <c r="H28" s="17">
        <f t="shared" si="11"/>
        <v>4157.3265683185837</v>
      </c>
      <c r="I28" s="17">
        <f t="shared" si="12"/>
        <v>19132.016867402122</v>
      </c>
      <c r="J28" s="19">
        <f t="shared" si="13"/>
        <v>3026.5337417359292</v>
      </c>
      <c r="K28" s="19">
        <f t="shared" si="14"/>
        <v>130249.04138542124</v>
      </c>
      <c r="L28" s="9">
        <v>598.15</v>
      </c>
      <c r="M28" s="28">
        <f t="shared" si="2"/>
        <v>83741</v>
      </c>
      <c r="N28" s="28">
        <f t="shared" si="3"/>
        <v>103933.1642079646</v>
      </c>
      <c r="O28" s="2">
        <v>1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9">
        <v>2</v>
      </c>
      <c r="V28" s="9">
        <v>91</v>
      </c>
      <c r="W28" s="4">
        <v>150.69999999999999</v>
      </c>
      <c r="X28" s="4" t="s">
        <v>140</v>
      </c>
      <c r="Y28" s="4">
        <f t="shared" si="4"/>
        <v>0.15</v>
      </c>
      <c r="Z28" s="1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 s="4">
        <v>1</v>
      </c>
      <c r="AH28" s="4">
        <v>1</v>
      </c>
      <c r="AI28" s="16">
        <v>30</v>
      </c>
      <c r="AJ28" s="16">
        <v>10</v>
      </c>
      <c r="AK28" s="37">
        <v>240</v>
      </c>
      <c r="AL28" s="16">
        <v>3.5</v>
      </c>
      <c r="AM28" s="16">
        <v>3.5</v>
      </c>
      <c r="AN28" s="35">
        <v>1</v>
      </c>
      <c r="AO28" s="1">
        <v>0</v>
      </c>
    </row>
    <row r="29" spans="1:41" ht="32.1" customHeight="1" x14ac:dyDescent="0.15">
      <c r="A29" s="4" t="s">
        <v>7</v>
      </c>
      <c r="B29" s="10" t="s">
        <v>47</v>
      </c>
      <c r="C29" s="29">
        <v>18651.895087168137</v>
      </c>
      <c r="D29" s="29">
        <v>17708.545132743362</v>
      </c>
      <c r="E29" s="19">
        <f t="shared" si="10"/>
        <v>36360.440219911499</v>
      </c>
      <c r="F29" s="17">
        <f t="shared" si="0"/>
        <v>35103.423999999999</v>
      </c>
      <c r="G29" s="17">
        <f t="shared" si="1"/>
        <v>56243.776000000005</v>
      </c>
      <c r="H29" s="17">
        <f t="shared" si="11"/>
        <v>5108.3056087964596</v>
      </c>
      <c r="I29" s="17">
        <f t="shared" si="12"/>
        <v>23508.422411681306</v>
      </c>
      <c r="J29" s="19">
        <f t="shared" si="13"/>
        <v>3718.8464832038226</v>
      </c>
      <c r="K29" s="19">
        <f t="shared" si="14"/>
        <v>160043.21472359306</v>
      </c>
      <c r="L29" s="9">
        <v>652.48</v>
      </c>
      <c r="M29" s="28">
        <f t="shared" si="2"/>
        <v>91347.200000000012</v>
      </c>
      <c r="N29" s="28">
        <f t="shared" si="3"/>
        <v>127707.6402199115</v>
      </c>
      <c r="O29" s="2">
        <v>1</v>
      </c>
      <c r="P29" s="2">
        <v>1</v>
      </c>
      <c r="Q29" s="2">
        <v>1</v>
      </c>
      <c r="R29" s="2">
        <v>0</v>
      </c>
      <c r="S29" s="2">
        <v>0</v>
      </c>
      <c r="T29" s="2">
        <v>0</v>
      </c>
      <c r="U29" s="9">
        <v>2</v>
      </c>
      <c r="V29" s="9">
        <v>91</v>
      </c>
      <c r="W29" s="4">
        <v>150.69999999999999</v>
      </c>
      <c r="X29" s="4" t="s">
        <v>140</v>
      </c>
      <c r="Y29" s="4">
        <f t="shared" si="4"/>
        <v>0.15</v>
      </c>
      <c r="Z29" s="1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 s="4">
        <v>1</v>
      </c>
      <c r="AH29" s="4">
        <v>1</v>
      </c>
      <c r="AI29" s="16">
        <v>30</v>
      </c>
      <c r="AJ29" s="16">
        <v>10</v>
      </c>
      <c r="AK29" s="37">
        <v>240</v>
      </c>
      <c r="AL29" s="16">
        <v>3.5</v>
      </c>
      <c r="AM29" s="16">
        <v>3.5</v>
      </c>
      <c r="AN29" s="35">
        <v>1</v>
      </c>
      <c r="AO29" s="1">
        <v>0</v>
      </c>
    </row>
    <row r="30" spans="1:41" ht="32.1" customHeight="1" x14ac:dyDescent="0.15">
      <c r="A30" s="4" t="s">
        <v>7</v>
      </c>
      <c r="B30" s="10" t="s">
        <v>67</v>
      </c>
      <c r="C30" s="29">
        <v>11061.325087610623</v>
      </c>
      <c r="D30" s="29">
        <v>494.69026548672571</v>
      </c>
      <c r="E30" s="19">
        <f t="shared" si="10"/>
        <v>11556.015353097349</v>
      </c>
      <c r="F30" s="17">
        <f t="shared" si="0"/>
        <v>22704.137999999999</v>
      </c>
      <c r="G30" s="17">
        <f t="shared" si="1"/>
        <v>36377.262000000002</v>
      </c>
      <c r="H30" s="17">
        <f t="shared" si="11"/>
        <v>2825.4966141238938</v>
      </c>
      <c r="I30" s="17">
        <f t="shared" si="12"/>
        <v>13002.935418198158</v>
      </c>
      <c r="J30" s="19">
        <f t="shared" si="13"/>
        <v>2056.9615350821946</v>
      </c>
      <c r="K30" s="19">
        <f t="shared" si="14"/>
        <v>88522.8089205016</v>
      </c>
      <c r="L30" s="9">
        <v>422.01</v>
      </c>
      <c r="M30" s="28">
        <f t="shared" si="2"/>
        <v>59081.4</v>
      </c>
      <c r="N30" s="28">
        <f t="shared" si="3"/>
        <v>70637.415353097342</v>
      </c>
      <c r="O30" s="2">
        <v>1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9">
        <v>1</v>
      </c>
      <c r="V30" s="9">
        <v>91</v>
      </c>
      <c r="W30" s="4">
        <v>150.69999999999999</v>
      </c>
      <c r="X30" s="4" t="s">
        <v>140</v>
      </c>
      <c r="Y30" s="4">
        <f t="shared" si="4"/>
        <v>0.15</v>
      </c>
      <c r="Z30" s="1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 s="4">
        <v>1</v>
      </c>
      <c r="AH30" s="4">
        <v>1</v>
      </c>
      <c r="AI30" s="16">
        <v>30</v>
      </c>
      <c r="AJ30" s="16">
        <v>10</v>
      </c>
      <c r="AK30" s="37">
        <v>240</v>
      </c>
      <c r="AL30" s="16">
        <v>3.5</v>
      </c>
      <c r="AM30" s="16">
        <v>3.5</v>
      </c>
      <c r="AN30" s="35">
        <v>1</v>
      </c>
      <c r="AO30" s="1">
        <v>0</v>
      </c>
    </row>
    <row r="31" spans="1:41" ht="32.1" customHeight="1" x14ac:dyDescent="0.15">
      <c r="A31" s="4" t="s">
        <v>7</v>
      </c>
      <c r="B31" s="10" t="s">
        <v>68</v>
      </c>
      <c r="C31" s="29">
        <v>11061.325087610623</v>
      </c>
      <c r="D31" s="29">
        <v>485.84070796460179</v>
      </c>
      <c r="E31" s="19">
        <f t="shared" si="10"/>
        <v>11547.165795575225</v>
      </c>
      <c r="F31" s="17">
        <f t="shared" ref="F31:F58" si="15">L31*53.8</f>
        <v>21620.606</v>
      </c>
      <c r="G31" s="17">
        <f t="shared" ref="G31:G58" si="16">L31*86.2</f>
        <v>34641.194000000003</v>
      </c>
      <c r="H31" s="17">
        <f t="shared" si="11"/>
        <v>2712.3586318230095</v>
      </c>
      <c r="I31" s="17">
        <f t="shared" si="12"/>
        <v>12482.274423649487</v>
      </c>
      <c r="J31" s="19">
        <f t="shared" si="13"/>
        <v>1974.5970839671509</v>
      </c>
      <c r="K31" s="19">
        <f t="shared" si="14"/>
        <v>84978.195935014883</v>
      </c>
      <c r="L31" s="9">
        <v>401.87</v>
      </c>
      <c r="M31" s="28">
        <f t="shared" si="2"/>
        <v>56261.8</v>
      </c>
      <c r="N31" s="28">
        <f t="shared" si="3"/>
        <v>67808.965795575234</v>
      </c>
      <c r="O31" s="2">
        <v>1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9">
        <v>1</v>
      </c>
      <c r="V31" s="9">
        <v>91</v>
      </c>
      <c r="W31" s="4">
        <v>150.69999999999999</v>
      </c>
      <c r="X31" s="4" t="s">
        <v>140</v>
      </c>
      <c r="Y31" s="4">
        <f t="shared" si="4"/>
        <v>0.15</v>
      </c>
      <c r="Z31" s="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 s="4">
        <v>1</v>
      </c>
      <c r="AH31" s="4">
        <v>1</v>
      </c>
      <c r="AI31" s="16">
        <v>30</v>
      </c>
      <c r="AJ31" s="16">
        <v>10</v>
      </c>
      <c r="AK31" s="37">
        <v>240</v>
      </c>
      <c r="AL31" s="16">
        <v>3.5</v>
      </c>
      <c r="AM31" s="16">
        <v>3.5</v>
      </c>
      <c r="AN31" s="35">
        <v>1</v>
      </c>
      <c r="AO31" s="1">
        <v>0</v>
      </c>
    </row>
    <row r="32" spans="1:41" ht="32.1" customHeight="1" x14ac:dyDescent="0.15">
      <c r="A32" s="4" t="s">
        <v>11</v>
      </c>
      <c r="B32" s="10" t="s">
        <v>69</v>
      </c>
      <c r="C32" s="17">
        <f>105144/8</f>
        <v>13143</v>
      </c>
      <c r="D32" s="17">
        <f>4042.48/8</f>
        <v>505.31</v>
      </c>
      <c r="E32" s="19">
        <f t="shared" si="10"/>
        <v>13648.31</v>
      </c>
      <c r="F32" s="17">
        <f t="shared" si="15"/>
        <v>15336.227999999999</v>
      </c>
      <c r="G32" s="17">
        <f t="shared" si="16"/>
        <v>24572.172000000002</v>
      </c>
      <c r="H32" s="17">
        <f t="shared" si="11"/>
        <v>2142.2684000000004</v>
      </c>
      <c r="I32" s="17">
        <f t="shared" si="12"/>
        <v>9858.7191768000012</v>
      </c>
      <c r="J32" s="19">
        <f t="shared" si="13"/>
        <v>1559.5713952000003</v>
      </c>
      <c r="K32" s="19">
        <f t="shared" si="14"/>
        <v>67117.268972000005</v>
      </c>
      <c r="L32" s="9">
        <v>285.06</v>
      </c>
      <c r="M32" s="28">
        <f t="shared" si="2"/>
        <v>39908.400000000001</v>
      </c>
      <c r="N32" s="28">
        <f t="shared" si="3"/>
        <v>53556.710000000006</v>
      </c>
      <c r="O32" s="2">
        <v>1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9">
        <v>1</v>
      </c>
      <c r="V32" s="9">
        <v>91</v>
      </c>
      <c r="W32" s="4">
        <v>150.69999999999999</v>
      </c>
      <c r="X32" s="4" t="s">
        <v>140</v>
      </c>
      <c r="Y32" s="4">
        <f t="shared" si="4"/>
        <v>0.15</v>
      </c>
      <c r="Z32" s="1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 s="4">
        <v>1</v>
      </c>
      <c r="AH32" s="4">
        <v>1</v>
      </c>
      <c r="AI32" s="16">
        <v>30</v>
      </c>
      <c r="AJ32" s="16">
        <v>15</v>
      </c>
      <c r="AK32" s="37">
        <v>240</v>
      </c>
      <c r="AL32" s="16">
        <v>3.5</v>
      </c>
      <c r="AM32" s="16">
        <v>3.5</v>
      </c>
      <c r="AN32" s="36">
        <v>0</v>
      </c>
      <c r="AO32" s="1">
        <v>0</v>
      </c>
    </row>
    <row r="33" spans="1:41" ht="32.1" customHeight="1" x14ac:dyDescent="0.15">
      <c r="A33" s="4" t="s">
        <v>11</v>
      </c>
      <c r="B33" s="10" t="s">
        <v>39</v>
      </c>
      <c r="C33" s="17">
        <f>39862.84/2</f>
        <v>19931.419999999998</v>
      </c>
      <c r="D33" s="17">
        <f>1066/2</f>
        <v>533</v>
      </c>
      <c r="E33" s="19">
        <f t="shared" si="10"/>
        <v>20464.419999999998</v>
      </c>
      <c r="F33" s="17">
        <f t="shared" si="15"/>
        <v>22551.346000000001</v>
      </c>
      <c r="G33" s="17">
        <f t="shared" si="16"/>
        <v>36132.454000000005</v>
      </c>
      <c r="H33" s="17">
        <f t="shared" si="11"/>
        <v>3165.9288000000001</v>
      </c>
      <c r="I33" s="17">
        <f t="shared" si="12"/>
        <v>14569.604337599998</v>
      </c>
      <c r="J33" s="19">
        <f t="shared" si="13"/>
        <v>2304.7961663999999</v>
      </c>
      <c r="K33" s="19">
        <f t="shared" si="14"/>
        <v>99188.549304</v>
      </c>
      <c r="L33" s="9">
        <v>419.17</v>
      </c>
      <c r="M33" s="28">
        <f t="shared" si="2"/>
        <v>58683.8</v>
      </c>
      <c r="N33" s="28">
        <f t="shared" si="3"/>
        <v>79148.22</v>
      </c>
      <c r="O33" s="2">
        <v>1</v>
      </c>
      <c r="P33" s="2">
        <v>1</v>
      </c>
      <c r="Q33" s="2">
        <v>0</v>
      </c>
      <c r="R33" s="2">
        <v>0</v>
      </c>
      <c r="S33" s="2">
        <v>0</v>
      </c>
      <c r="T33" s="2">
        <v>0</v>
      </c>
      <c r="U33" s="9">
        <v>2</v>
      </c>
      <c r="V33" s="9">
        <v>91</v>
      </c>
      <c r="W33" s="4">
        <v>150.69999999999999</v>
      </c>
      <c r="X33" s="4" t="s">
        <v>140</v>
      </c>
      <c r="Y33" s="4">
        <f t="shared" si="4"/>
        <v>0.15</v>
      </c>
      <c r="Z33" s="1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 s="4">
        <v>1</v>
      </c>
      <c r="AH33" s="4">
        <v>1</v>
      </c>
      <c r="AI33" s="16">
        <v>30</v>
      </c>
      <c r="AJ33" s="16">
        <v>15</v>
      </c>
      <c r="AK33" s="37">
        <v>240</v>
      </c>
      <c r="AL33" s="16">
        <v>3.5</v>
      </c>
      <c r="AM33" s="16">
        <v>3.5</v>
      </c>
      <c r="AN33" s="36">
        <v>0</v>
      </c>
      <c r="AO33" s="1">
        <v>0</v>
      </c>
    </row>
    <row r="34" spans="1:41" ht="32.1" customHeight="1" x14ac:dyDescent="0.15">
      <c r="A34" s="4" t="s">
        <v>11</v>
      </c>
      <c r="B34" s="10" t="s">
        <v>40</v>
      </c>
      <c r="C34" s="17">
        <f>24876.69/2</f>
        <v>12438.344999999999</v>
      </c>
      <c r="D34" s="17">
        <v>925.31</v>
      </c>
      <c r="E34" s="19">
        <f t="shared" si="10"/>
        <v>13363.654999999999</v>
      </c>
      <c r="F34" s="17">
        <f t="shared" si="15"/>
        <v>15074.759999999998</v>
      </c>
      <c r="G34" s="17">
        <f t="shared" si="16"/>
        <v>24153.24</v>
      </c>
      <c r="H34" s="17">
        <f t="shared" si="11"/>
        <v>2103.6662000000001</v>
      </c>
      <c r="I34" s="17">
        <f t="shared" si="12"/>
        <v>9681.0718523999985</v>
      </c>
      <c r="J34" s="19">
        <f t="shared" si="13"/>
        <v>1531.4689936</v>
      </c>
      <c r="K34" s="19">
        <f t="shared" si="14"/>
        <v>65907.862045999995</v>
      </c>
      <c r="L34" s="9">
        <v>280.2</v>
      </c>
      <c r="M34" s="28">
        <f t="shared" si="2"/>
        <v>39228</v>
      </c>
      <c r="N34" s="28">
        <f t="shared" si="3"/>
        <v>52591.654999999999</v>
      </c>
      <c r="O34" s="2">
        <v>1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9">
        <v>1</v>
      </c>
      <c r="V34" s="9">
        <v>91</v>
      </c>
      <c r="W34" s="4">
        <v>150.69999999999999</v>
      </c>
      <c r="X34" s="4" t="s">
        <v>140</v>
      </c>
      <c r="Y34" s="4">
        <f t="shared" si="4"/>
        <v>0.15</v>
      </c>
      <c r="Z34" s="1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 s="4">
        <v>1</v>
      </c>
      <c r="AH34" s="4">
        <v>1</v>
      </c>
      <c r="AI34" s="16">
        <v>30</v>
      </c>
      <c r="AJ34" s="16">
        <v>15</v>
      </c>
      <c r="AK34" s="37">
        <v>240</v>
      </c>
      <c r="AL34" s="16">
        <v>3.5</v>
      </c>
      <c r="AM34" s="16">
        <v>3.5</v>
      </c>
      <c r="AN34" s="36">
        <v>0</v>
      </c>
      <c r="AO34" s="1">
        <v>0</v>
      </c>
    </row>
    <row r="35" spans="1:41" ht="32.1" customHeight="1" x14ac:dyDescent="0.15">
      <c r="A35" s="4" t="s">
        <v>11</v>
      </c>
      <c r="B35" s="10" t="s">
        <v>70</v>
      </c>
      <c r="C35" s="17">
        <v>12552.59</v>
      </c>
      <c r="D35" s="17">
        <v>15567.88</v>
      </c>
      <c r="E35" s="19">
        <f t="shared" si="10"/>
        <v>28120.47</v>
      </c>
      <c r="F35" s="17">
        <f t="shared" si="15"/>
        <v>21207.96</v>
      </c>
      <c r="G35" s="17">
        <f t="shared" si="16"/>
        <v>33980.04</v>
      </c>
      <c r="H35" s="17">
        <f t="shared" si="11"/>
        <v>3332.3388</v>
      </c>
      <c r="I35" s="17">
        <f t="shared" si="12"/>
        <v>15335.423157599998</v>
      </c>
      <c r="J35" s="19">
        <f t="shared" si="13"/>
        <v>2425.9426463999998</v>
      </c>
      <c r="K35" s="19">
        <f t="shared" si="14"/>
        <v>104402.174604</v>
      </c>
      <c r="L35" s="9">
        <v>394.2</v>
      </c>
      <c r="M35" s="28">
        <f t="shared" si="2"/>
        <v>55188</v>
      </c>
      <c r="N35" s="28">
        <f t="shared" si="3"/>
        <v>83308.47</v>
      </c>
      <c r="O35" s="2">
        <v>1</v>
      </c>
      <c r="P35" s="2">
        <v>1</v>
      </c>
      <c r="Q35" s="2">
        <v>1</v>
      </c>
      <c r="R35" s="2">
        <v>0</v>
      </c>
      <c r="S35" s="2">
        <v>0</v>
      </c>
      <c r="T35" s="2">
        <v>0</v>
      </c>
      <c r="U35" s="9">
        <v>1</v>
      </c>
      <c r="V35" s="9">
        <v>91</v>
      </c>
      <c r="W35" s="4">
        <v>150.69999999999999</v>
      </c>
      <c r="X35" s="4" t="s">
        <v>140</v>
      </c>
      <c r="Y35" s="4">
        <f t="shared" si="4"/>
        <v>0.15</v>
      </c>
      <c r="Z35" s="1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 s="4">
        <v>1</v>
      </c>
      <c r="AH35" s="4">
        <v>1</v>
      </c>
      <c r="AI35" s="16">
        <v>30</v>
      </c>
      <c r="AJ35" s="16">
        <v>15</v>
      </c>
      <c r="AK35" s="37">
        <v>240</v>
      </c>
      <c r="AL35" s="16">
        <v>3.5</v>
      </c>
      <c r="AM35" s="16">
        <v>3.5</v>
      </c>
      <c r="AN35" s="36">
        <v>0</v>
      </c>
      <c r="AO35" s="1">
        <v>0</v>
      </c>
    </row>
    <row r="36" spans="1:41" ht="32.1" customHeight="1" x14ac:dyDescent="0.15">
      <c r="A36" s="4" t="s">
        <v>11</v>
      </c>
      <c r="B36" s="10" t="s">
        <v>71</v>
      </c>
      <c r="C36" s="17">
        <v>12552.59</v>
      </c>
      <c r="D36" s="17">
        <v>15567.88</v>
      </c>
      <c r="E36" s="19">
        <f t="shared" si="10"/>
        <v>28120.47</v>
      </c>
      <c r="F36" s="17">
        <f t="shared" si="15"/>
        <v>21207.96</v>
      </c>
      <c r="G36" s="17">
        <f t="shared" si="16"/>
        <v>33980.04</v>
      </c>
      <c r="H36" s="17">
        <f t="shared" si="11"/>
        <v>3332.3388</v>
      </c>
      <c r="I36" s="17">
        <f t="shared" si="12"/>
        <v>15335.423157599998</v>
      </c>
      <c r="J36" s="19">
        <f t="shared" si="13"/>
        <v>2425.9426463999998</v>
      </c>
      <c r="K36" s="19">
        <f t="shared" si="14"/>
        <v>104402.174604</v>
      </c>
      <c r="L36" s="9">
        <v>394.2</v>
      </c>
      <c r="M36" s="28">
        <f t="shared" si="2"/>
        <v>55188</v>
      </c>
      <c r="N36" s="28">
        <f t="shared" si="3"/>
        <v>83308.47</v>
      </c>
      <c r="O36" s="2">
        <v>1</v>
      </c>
      <c r="P36" s="2">
        <v>1</v>
      </c>
      <c r="Q36" s="2">
        <v>1</v>
      </c>
      <c r="R36" s="2">
        <v>0</v>
      </c>
      <c r="S36" s="2">
        <v>0</v>
      </c>
      <c r="T36" s="2">
        <v>0</v>
      </c>
      <c r="U36" s="9">
        <v>1</v>
      </c>
      <c r="V36" s="9">
        <v>91</v>
      </c>
      <c r="W36" s="4">
        <v>150.69999999999999</v>
      </c>
      <c r="X36" s="4" t="s">
        <v>140</v>
      </c>
      <c r="Y36" s="4">
        <f t="shared" si="4"/>
        <v>0.15</v>
      </c>
      <c r="Z36" s="1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 s="4">
        <v>1</v>
      </c>
      <c r="AH36" s="4">
        <v>1</v>
      </c>
      <c r="AI36" s="16">
        <v>30</v>
      </c>
      <c r="AJ36" s="16">
        <v>15</v>
      </c>
      <c r="AK36" s="37">
        <v>240</v>
      </c>
      <c r="AL36" s="16">
        <v>3.5</v>
      </c>
      <c r="AM36" s="16">
        <v>3.5</v>
      </c>
      <c r="AN36" s="36">
        <v>0</v>
      </c>
      <c r="AO36" s="1">
        <v>0</v>
      </c>
    </row>
    <row r="37" spans="1:41" ht="32.1" customHeight="1" x14ac:dyDescent="0.15">
      <c r="A37" s="9" t="s">
        <v>10</v>
      </c>
      <c r="B37" s="10" t="s">
        <v>72</v>
      </c>
      <c r="C37" s="21">
        <v>30287.84</v>
      </c>
      <c r="D37" s="21">
        <f>739.6/1.13</f>
        <v>654.5132743362833</v>
      </c>
      <c r="E37" s="19">
        <f t="shared" si="10"/>
        <v>30942.353274336285</v>
      </c>
      <c r="F37" s="17">
        <f t="shared" si="15"/>
        <v>25411.353999999999</v>
      </c>
      <c r="G37" s="17">
        <f t="shared" si="16"/>
        <v>40714.845999999998</v>
      </c>
      <c r="H37" s="17">
        <f t="shared" si="11"/>
        <v>3882.7421309734509</v>
      </c>
      <c r="I37" s="17">
        <f t="shared" si="12"/>
        <v>17868.379286739819</v>
      </c>
      <c r="J37" s="19">
        <f t="shared" si="13"/>
        <v>2826.6362713486724</v>
      </c>
      <c r="K37" s="19">
        <f t="shared" si="14"/>
        <v>121646.31096339821</v>
      </c>
      <c r="L37" s="9">
        <v>472.33</v>
      </c>
      <c r="M37" s="28">
        <f t="shared" si="2"/>
        <v>66126.2</v>
      </c>
      <c r="N37" s="28">
        <f t="shared" si="3"/>
        <v>97068.553274336271</v>
      </c>
      <c r="O37" s="2">
        <v>1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9">
        <v>2</v>
      </c>
      <c r="V37" s="9">
        <v>75</v>
      </c>
      <c r="W37" s="9">
        <v>101.19617</v>
      </c>
      <c r="X37" s="9" t="s">
        <v>140</v>
      </c>
      <c r="Y37" s="4">
        <f t="shared" si="4"/>
        <v>0.15</v>
      </c>
      <c r="Z37" s="1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 s="4">
        <v>1</v>
      </c>
      <c r="AH37" s="9">
        <v>0</v>
      </c>
      <c r="AI37" s="13">
        <v>60</v>
      </c>
      <c r="AJ37" s="16">
        <v>10</v>
      </c>
      <c r="AK37" s="16">
        <v>96</v>
      </c>
      <c r="AL37" s="16">
        <v>0</v>
      </c>
      <c r="AM37" s="16">
        <v>0</v>
      </c>
      <c r="AN37" s="36">
        <v>0</v>
      </c>
      <c r="AO37" s="1">
        <v>0</v>
      </c>
    </row>
    <row r="38" spans="1:41" ht="32.1" customHeight="1" x14ac:dyDescent="0.15">
      <c r="A38" s="9" t="s">
        <v>10</v>
      </c>
      <c r="B38" s="10" t="s">
        <v>73</v>
      </c>
      <c r="C38" s="21">
        <v>14803.26</v>
      </c>
      <c r="D38" s="21">
        <f>763.6/1.13</f>
        <v>675.75221238938059</v>
      </c>
      <c r="E38" s="19">
        <f t="shared" si="10"/>
        <v>15479.012212389382</v>
      </c>
      <c r="F38" s="17">
        <f t="shared" si="15"/>
        <v>25411.353999999999</v>
      </c>
      <c r="G38" s="17">
        <f t="shared" si="16"/>
        <v>40714.845999999998</v>
      </c>
      <c r="H38" s="17">
        <f t="shared" si="11"/>
        <v>3264.2084884955752</v>
      </c>
      <c r="I38" s="17">
        <f t="shared" si="12"/>
        <v>15021.887464056636</v>
      </c>
      <c r="J38" s="19">
        <f t="shared" si="13"/>
        <v>2376.3437796247786</v>
      </c>
      <c r="K38" s="19">
        <f t="shared" si="14"/>
        <v>102267.65194456636</v>
      </c>
      <c r="L38" s="9">
        <v>472.33</v>
      </c>
      <c r="M38" s="28">
        <f t="shared" si="2"/>
        <v>66126.2</v>
      </c>
      <c r="N38" s="28">
        <f t="shared" si="3"/>
        <v>81605.212212389379</v>
      </c>
      <c r="O38" s="2">
        <v>1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9">
        <v>2</v>
      </c>
      <c r="V38" s="9">
        <v>75</v>
      </c>
      <c r="W38" s="9">
        <v>101.19617</v>
      </c>
      <c r="X38" s="9" t="s">
        <v>140</v>
      </c>
      <c r="Y38" s="4">
        <f t="shared" si="4"/>
        <v>0.15</v>
      </c>
      <c r="Z38" s="1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 s="4">
        <v>1</v>
      </c>
      <c r="AH38" s="9">
        <v>0</v>
      </c>
      <c r="AI38" s="13">
        <v>60</v>
      </c>
      <c r="AJ38" s="16">
        <v>10</v>
      </c>
      <c r="AK38" s="16">
        <v>96</v>
      </c>
      <c r="AL38" s="16">
        <v>0</v>
      </c>
      <c r="AM38" s="16">
        <v>0</v>
      </c>
      <c r="AN38" s="36">
        <v>0</v>
      </c>
      <c r="AO38" s="1">
        <v>0</v>
      </c>
    </row>
    <row r="39" spans="1:41" ht="32.1" customHeight="1" x14ac:dyDescent="0.15">
      <c r="A39" s="9" t="s">
        <v>10</v>
      </c>
      <c r="B39" s="10" t="s">
        <v>28</v>
      </c>
      <c r="C39" s="21">
        <v>18225.04</v>
      </c>
      <c r="D39" s="21">
        <f>763.6/1.13</f>
        <v>675.75221238938059</v>
      </c>
      <c r="E39" s="19">
        <f t="shared" si="10"/>
        <v>18900.79221238938</v>
      </c>
      <c r="F39" s="17">
        <f t="shared" si="15"/>
        <v>34599.317999999999</v>
      </c>
      <c r="G39" s="17">
        <f t="shared" si="16"/>
        <v>55436.082000000002</v>
      </c>
      <c r="H39" s="17">
        <f t="shared" si="11"/>
        <v>4357.4476884955748</v>
      </c>
      <c r="I39" s="17">
        <f t="shared" si="12"/>
        <v>20052.974262456635</v>
      </c>
      <c r="J39" s="19">
        <f t="shared" si="13"/>
        <v>3172.2219172247787</v>
      </c>
      <c r="K39" s="19">
        <f t="shared" si="14"/>
        <v>136518.83608056637</v>
      </c>
      <c r="L39" s="5">
        <v>643.11</v>
      </c>
      <c r="M39" s="28">
        <f t="shared" si="2"/>
        <v>90035.4</v>
      </c>
      <c r="N39" s="28">
        <f t="shared" si="3"/>
        <v>108936.19221238937</v>
      </c>
      <c r="O39" s="2">
        <v>1</v>
      </c>
      <c r="P39" s="2">
        <v>1</v>
      </c>
      <c r="Q39" s="2">
        <v>0</v>
      </c>
      <c r="R39" s="2">
        <v>0</v>
      </c>
      <c r="S39" s="2">
        <v>0</v>
      </c>
      <c r="T39" s="2">
        <v>0</v>
      </c>
      <c r="U39" s="9">
        <v>2</v>
      </c>
      <c r="V39" s="9">
        <v>75</v>
      </c>
      <c r="W39" s="9">
        <v>101.19617</v>
      </c>
      <c r="X39" s="9" t="s">
        <v>140</v>
      </c>
      <c r="Y39" s="4">
        <f t="shared" si="4"/>
        <v>0.15</v>
      </c>
      <c r="Z39" s="1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 s="4">
        <v>1</v>
      </c>
      <c r="AH39" s="9">
        <v>0</v>
      </c>
      <c r="AI39" s="13">
        <v>60</v>
      </c>
      <c r="AJ39" s="16">
        <v>10</v>
      </c>
      <c r="AK39" s="16">
        <v>96</v>
      </c>
      <c r="AL39" s="16">
        <v>0</v>
      </c>
      <c r="AM39" s="16">
        <v>0</v>
      </c>
      <c r="AN39" s="36">
        <v>0</v>
      </c>
      <c r="AO39" s="1">
        <v>0</v>
      </c>
    </row>
    <row r="40" spans="1:41" ht="32.1" customHeight="1" x14ac:dyDescent="0.15">
      <c r="A40" s="9" t="s">
        <v>10</v>
      </c>
      <c r="B40" s="10" t="s">
        <v>74</v>
      </c>
      <c r="C40" s="21">
        <v>14095.330796460179</v>
      </c>
      <c r="D40" s="21">
        <f>44756.76/1.13</f>
        <v>39607.752212389387</v>
      </c>
      <c r="E40" s="19">
        <f t="shared" si="10"/>
        <v>53703.083008849564</v>
      </c>
      <c r="F40" s="17">
        <f t="shared" si="15"/>
        <v>17664.153999999999</v>
      </c>
      <c r="G40" s="17">
        <f t="shared" si="16"/>
        <v>28302.045999999998</v>
      </c>
      <c r="H40" s="17">
        <f t="shared" si="11"/>
        <v>3986.7713203539829</v>
      </c>
      <c r="I40" s="17">
        <f t="shared" si="12"/>
        <v>18347.121616269029</v>
      </c>
      <c r="J40" s="19">
        <f t="shared" si="13"/>
        <v>2902.3695212176999</v>
      </c>
      <c r="K40" s="19">
        <f t="shared" si="14"/>
        <v>124905.54546669028</v>
      </c>
      <c r="L40" s="9">
        <v>328.33</v>
      </c>
      <c r="M40" s="28">
        <f t="shared" si="2"/>
        <v>45966.2</v>
      </c>
      <c r="N40" s="28">
        <f t="shared" si="3"/>
        <v>99669.283008849568</v>
      </c>
      <c r="O40" s="2">
        <v>1</v>
      </c>
      <c r="P40" s="2">
        <v>1</v>
      </c>
      <c r="Q40" s="2">
        <v>1</v>
      </c>
      <c r="R40" s="2">
        <v>0</v>
      </c>
      <c r="S40" s="2">
        <v>0</v>
      </c>
      <c r="T40" s="2">
        <v>0</v>
      </c>
      <c r="U40" s="9">
        <v>1</v>
      </c>
      <c r="V40" s="9">
        <v>75</v>
      </c>
      <c r="W40" s="9">
        <v>101.19617</v>
      </c>
      <c r="X40" s="9" t="s">
        <v>140</v>
      </c>
      <c r="Y40" s="4">
        <f t="shared" si="4"/>
        <v>0.15</v>
      </c>
      <c r="Z40" s="1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s="4">
        <v>1</v>
      </c>
      <c r="AH40" s="9">
        <v>0</v>
      </c>
      <c r="AI40" s="13">
        <v>60</v>
      </c>
      <c r="AJ40" s="16">
        <v>10</v>
      </c>
      <c r="AK40" s="16">
        <v>96</v>
      </c>
      <c r="AL40" s="16">
        <v>0</v>
      </c>
      <c r="AM40" s="16">
        <v>0</v>
      </c>
      <c r="AN40" s="36">
        <v>0</v>
      </c>
      <c r="AO40" s="1">
        <v>0</v>
      </c>
    </row>
    <row r="41" spans="1:41" ht="32.1" customHeight="1" x14ac:dyDescent="0.15">
      <c r="A41" s="9" t="s">
        <v>10</v>
      </c>
      <c r="B41" s="10" t="s">
        <v>75</v>
      </c>
      <c r="C41" s="21">
        <v>14095.330796460179</v>
      </c>
      <c r="D41" s="21">
        <f>44756.76/1.13</f>
        <v>39607.752212389387</v>
      </c>
      <c r="E41" s="19">
        <f t="shared" ref="E41:E69" si="17">D41+C41</f>
        <v>53703.083008849564</v>
      </c>
      <c r="F41" s="17">
        <f t="shared" si="15"/>
        <v>17664.153999999999</v>
      </c>
      <c r="G41" s="17">
        <f t="shared" si="16"/>
        <v>28302.045999999998</v>
      </c>
      <c r="H41" s="17">
        <f t="shared" ref="H41:H70" si="18">SUM(E41:G41)*0.04</f>
        <v>3986.7713203539829</v>
      </c>
      <c r="I41" s="17">
        <f t="shared" ref="I41:I70" si="19">SUM(E41:H41)*0.177</f>
        <v>18347.121616269029</v>
      </c>
      <c r="J41" s="19">
        <f t="shared" ref="J41:J70" si="20">SUM(E41:H41)*0.028</f>
        <v>2902.3695212176999</v>
      </c>
      <c r="K41" s="19">
        <f t="shared" ref="K41:K70" si="21">SUM(E41:J41)</f>
        <v>124905.54546669028</v>
      </c>
      <c r="L41" s="9">
        <v>328.33</v>
      </c>
      <c r="M41" s="28">
        <f t="shared" si="2"/>
        <v>45966.2</v>
      </c>
      <c r="N41" s="28">
        <f t="shared" si="3"/>
        <v>99669.283008849568</v>
      </c>
      <c r="O41" s="2">
        <v>1</v>
      </c>
      <c r="P41" s="2">
        <v>1</v>
      </c>
      <c r="Q41" s="2">
        <v>1</v>
      </c>
      <c r="R41" s="2">
        <v>0</v>
      </c>
      <c r="S41" s="2">
        <v>0</v>
      </c>
      <c r="T41" s="2">
        <v>0</v>
      </c>
      <c r="U41" s="9">
        <v>1</v>
      </c>
      <c r="V41" s="9">
        <v>75</v>
      </c>
      <c r="W41" s="9">
        <v>101.19617</v>
      </c>
      <c r="X41" s="9" t="s">
        <v>140</v>
      </c>
      <c r="Y41" s="4">
        <f t="shared" si="4"/>
        <v>0.15</v>
      </c>
      <c r="Z41" s="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 s="4">
        <v>1</v>
      </c>
      <c r="AH41" s="9">
        <v>0</v>
      </c>
      <c r="AI41" s="13">
        <v>60</v>
      </c>
      <c r="AJ41" s="16">
        <v>10</v>
      </c>
      <c r="AK41" s="16">
        <v>96</v>
      </c>
      <c r="AL41" s="16">
        <v>0</v>
      </c>
      <c r="AM41" s="16">
        <v>0</v>
      </c>
      <c r="AN41" s="36">
        <v>0</v>
      </c>
      <c r="AO41" s="1">
        <v>0</v>
      </c>
    </row>
    <row r="42" spans="1:41" ht="32.1" customHeight="1" x14ac:dyDescent="0.15">
      <c r="A42" s="9" t="s">
        <v>10</v>
      </c>
      <c r="B42" s="10" t="s">
        <v>78</v>
      </c>
      <c r="C42" s="21">
        <v>30287.84</v>
      </c>
      <c r="D42" s="21">
        <f>739.6/1.13</f>
        <v>654.5132743362833</v>
      </c>
      <c r="E42" s="19">
        <f t="shared" si="17"/>
        <v>30942.353274336285</v>
      </c>
      <c r="F42" s="17">
        <f t="shared" si="15"/>
        <v>25410.815999999999</v>
      </c>
      <c r="G42" s="17">
        <f t="shared" si="16"/>
        <v>40713.984000000004</v>
      </c>
      <c r="H42" s="17">
        <f t="shared" si="18"/>
        <v>3882.6861309734513</v>
      </c>
      <c r="I42" s="17">
        <f t="shared" si="19"/>
        <v>17868.12157473982</v>
      </c>
      <c r="J42" s="19">
        <f t="shared" si="20"/>
        <v>2826.5955033486725</v>
      </c>
      <c r="K42" s="19">
        <f t="shared" si="21"/>
        <v>121644.55648339822</v>
      </c>
      <c r="L42" s="9">
        <v>472.32</v>
      </c>
      <c r="M42" s="28">
        <f t="shared" si="2"/>
        <v>66124.800000000003</v>
      </c>
      <c r="N42" s="28">
        <f t="shared" si="3"/>
        <v>97067.153274336277</v>
      </c>
      <c r="O42" s="2">
        <v>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9">
        <v>2</v>
      </c>
      <c r="V42" s="9">
        <v>75</v>
      </c>
      <c r="W42" s="9">
        <v>101.19617</v>
      </c>
      <c r="X42" s="9" t="s">
        <v>140</v>
      </c>
      <c r="Y42" s="4">
        <f t="shared" si="4"/>
        <v>0.15</v>
      </c>
      <c r="Z42" s="1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s="4">
        <v>1</v>
      </c>
      <c r="AH42" s="9">
        <v>0</v>
      </c>
      <c r="AI42" s="13">
        <v>60</v>
      </c>
      <c r="AJ42" s="16">
        <v>10</v>
      </c>
      <c r="AK42" s="16">
        <v>96</v>
      </c>
      <c r="AL42" s="16">
        <v>0</v>
      </c>
      <c r="AM42" s="16">
        <v>0</v>
      </c>
      <c r="AN42" s="36">
        <v>0</v>
      </c>
      <c r="AO42" s="1">
        <v>0</v>
      </c>
    </row>
    <row r="43" spans="1:41" ht="32.1" customHeight="1" x14ac:dyDescent="0.15">
      <c r="A43" s="9" t="s">
        <v>10</v>
      </c>
      <c r="B43" s="10" t="s">
        <v>79</v>
      </c>
      <c r="C43" s="21">
        <v>14803.26</v>
      </c>
      <c r="D43" s="21">
        <f>763.6/1.13</f>
        <v>675.75221238938059</v>
      </c>
      <c r="E43" s="19">
        <f t="shared" si="17"/>
        <v>15479.012212389382</v>
      </c>
      <c r="F43" s="17">
        <f t="shared" si="15"/>
        <v>25410.815999999999</v>
      </c>
      <c r="G43" s="17">
        <f t="shared" si="16"/>
        <v>40713.984000000004</v>
      </c>
      <c r="H43" s="17">
        <f t="shared" si="18"/>
        <v>3264.1524884955757</v>
      </c>
      <c r="I43" s="17">
        <f t="shared" si="19"/>
        <v>15021.629752056637</v>
      </c>
      <c r="J43" s="19">
        <f t="shared" si="20"/>
        <v>2376.3030116247787</v>
      </c>
      <c r="K43" s="19">
        <f t="shared" si="21"/>
        <v>102265.89746456637</v>
      </c>
      <c r="L43" s="9">
        <v>472.32</v>
      </c>
      <c r="M43" s="28">
        <f t="shared" si="2"/>
        <v>66124.800000000003</v>
      </c>
      <c r="N43" s="28">
        <f t="shared" si="3"/>
        <v>81603.812212389385</v>
      </c>
      <c r="O43" s="2">
        <v>1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9">
        <v>2</v>
      </c>
      <c r="V43" s="9">
        <v>75</v>
      </c>
      <c r="W43" s="9">
        <v>101.19617</v>
      </c>
      <c r="X43" s="9" t="s">
        <v>140</v>
      </c>
      <c r="Y43" s="4">
        <f t="shared" si="4"/>
        <v>0.15</v>
      </c>
      <c r="Z43" s="1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 s="4">
        <v>1</v>
      </c>
      <c r="AH43" s="9">
        <v>0</v>
      </c>
      <c r="AI43" s="13">
        <v>60</v>
      </c>
      <c r="AJ43" s="16">
        <v>10</v>
      </c>
      <c r="AK43" s="16">
        <v>96</v>
      </c>
      <c r="AL43" s="16">
        <v>0</v>
      </c>
      <c r="AM43" s="16">
        <v>0</v>
      </c>
      <c r="AN43" s="36">
        <v>0</v>
      </c>
      <c r="AO43" s="1">
        <v>0</v>
      </c>
    </row>
    <row r="44" spans="1:41" ht="32.1" customHeight="1" x14ac:dyDescent="0.15">
      <c r="A44" s="9" t="s">
        <v>10</v>
      </c>
      <c r="B44" s="10" t="s">
        <v>76</v>
      </c>
      <c r="C44" s="21">
        <v>18036.8</v>
      </c>
      <c r="D44" s="21">
        <f>763.6/1.13</f>
        <v>675.75221238938059</v>
      </c>
      <c r="E44" s="19">
        <f t="shared" si="17"/>
        <v>18712.552212389379</v>
      </c>
      <c r="F44" s="17">
        <f t="shared" si="15"/>
        <v>18856.899999999998</v>
      </c>
      <c r="G44" s="17">
        <f t="shared" si="16"/>
        <v>30213.100000000002</v>
      </c>
      <c r="H44" s="17">
        <f t="shared" si="18"/>
        <v>2711.3020884955749</v>
      </c>
      <c r="I44" s="17">
        <f t="shared" si="19"/>
        <v>12477.412211256637</v>
      </c>
      <c r="J44" s="19">
        <f t="shared" si="20"/>
        <v>1973.8279204247788</v>
      </c>
      <c r="K44" s="19">
        <f t="shared" si="21"/>
        <v>84945.094432566373</v>
      </c>
      <c r="L44" s="9">
        <v>350.5</v>
      </c>
      <c r="M44" s="28">
        <f t="shared" si="2"/>
        <v>49070</v>
      </c>
      <c r="N44" s="28">
        <f t="shared" si="3"/>
        <v>67782.552212389375</v>
      </c>
      <c r="O44" s="2">
        <v>1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9">
        <v>1</v>
      </c>
      <c r="V44" s="9">
        <v>75</v>
      </c>
      <c r="W44" s="9">
        <v>101.19617</v>
      </c>
      <c r="X44" s="9" t="s">
        <v>140</v>
      </c>
      <c r="Y44" s="4">
        <f t="shared" si="4"/>
        <v>0.15</v>
      </c>
      <c r="Z44" s="1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 s="4">
        <v>1</v>
      </c>
      <c r="AH44" s="9">
        <v>0</v>
      </c>
      <c r="AI44" s="13">
        <v>60</v>
      </c>
      <c r="AJ44" s="16">
        <v>10</v>
      </c>
      <c r="AK44" s="16">
        <v>96</v>
      </c>
      <c r="AL44" s="16">
        <v>0</v>
      </c>
      <c r="AM44" s="16">
        <v>0</v>
      </c>
      <c r="AN44" s="36">
        <v>0</v>
      </c>
      <c r="AO44" s="1">
        <v>0</v>
      </c>
    </row>
    <row r="45" spans="1:41" ht="32.1" customHeight="1" x14ac:dyDescent="0.15">
      <c r="A45" s="9" t="s">
        <v>10</v>
      </c>
      <c r="B45" s="10" t="s">
        <v>77</v>
      </c>
      <c r="C45" s="21">
        <v>14803.8</v>
      </c>
      <c r="D45" s="21">
        <f>763.6/1.13</f>
        <v>675.75221238938059</v>
      </c>
      <c r="E45" s="19">
        <f t="shared" si="17"/>
        <v>15479.552212389381</v>
      </c>
      <c r="F45" s="17">
        <f t="shared" si="15"/>
        <v>22319.468000000001</v>
      </c>
      <c r="G45" s="17">
        <f t="shared" si="16"/>
        <v>35760.932000000001</v>
      </c>
      <c r="H45" s="17">
        <f t="shared" si="18"/>
        <v>2942.3980884955754</v>
      </c>
      <c r="I45" s="17">
        <f t="shared" si="19"/>
        <v>13540.916003256638</v>
      </c>
      <c r="J45" s="19">
        <f t="shared" si="20"/>
        <v>2142.0658084247789</v>
      </c>
      <c r="K45" s="19">
        <f t="shared" si="21"/>
        <v>92185.332112566393</v>
      </c>
      <c r="L45" s="9">
        <v>414.86</v>
      </c>
      <c r="M45" s="28">
        <f t="shared" si="2"/>
        <v>58080.4</v>
      </c>
      <c r="N45" s="28">
        <f t="shared" si="3"/>
        <v>73559.952212389384</v>
      </c>
      <c r="O45" s="2">
        <v>1</v>
      </c>
      <c r="P45" s="2">
        <v>1</v>
      </c>
      <c r="Q45" s="2">
        <v>0</v>
      </c>
      <c r="R45" s="2">
        <v>0</v>
      </c>
      <c r="S45" s="2">
        <v>0</v>
      </c>
      <c r="T45" s="2">
        <v>0</v>
      </c>
      <c r="U45" s="9">
        <v>1</v>
      </c>
      <c r="V45" s="9">
        <v>75</v>
      </c>
      <c r="W45" s="9">
        <v>101.19617</v>
      </c>
      <c r="X45" s="9" t="s">
        <v>140</v>
      </c>
      <c r="Y45" s="4">
        <f t="shared" si="4"/>
        <v>0.15</v>
      </c>
      <c r="Z45" s="1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 s="4">
        <v>1</v>
      </c>
      <c r="AH45" s="9">
        <v>0</v>
      </c>
      <c r="AI45" s="13">
        <v>60</v>
      </c>
      <c r="AJ45" s="16">
        <v>10</v>
      </c>
      <c r="AK45" s="16">
        <v>96</v>
      </c>
      <c r="AL45" s="16">
        <v>0</v>
      </c>
      <c r="AM45" s="16">
        <v>0</v>
      </c>
      <c r="AN45" s="36">
        <v>0</v>
      </c>
      <c r="AO45" s="1">
        <v>0</v>
      </c>
    </row>
    <row r="46" spans="1:41" ht="32.1" customHeight="1" x14ac:dyDescent="0.15">
      <c r="A46" s="9" t="s">
        <v>10</v>
      </c>
      <c r="B46" s="10" t="s">
        <v>80</v>
      </c>
      <c r="C46" s="21">
        <v>18225.04</v>
      </c>
      <c r="D46" s="21">
        <f>763.6/1.13</f>
        <v>675.75221238938059</v>
      </c>
      <c r="E46" s="19">
        <f t="shared" si="17"/>
        <v>18900.79221238938</v>
      </c>
      <c r="F46" s="17">
        <f t="shared" si="15"/>
        <v>34599.317999999999</v>
      </c>
      <c r="G46" s="17">
        <f t="shared" si="16"/>
        <v>55436.082000000002</v>
      </c>
      <c r="H46" s="17">
        <f t="shared" si="18"/>
        <v>4357.4476884955748</v>
      </c>
      <c r="I46" s="17">
        <f t="shared" si="19"/>
        <v>20052.974262456635</v>
      </c>
      <c r="J46" s="19">
        <f t="shared" si="20"/>
        <v>3172.2219172247787</v>
      </c>
      <c r="K46" s="19">
        <f t="shared" si="21"/>
        <v>136518.83608056637</v>
      </c>
      <c r="L46" s="9">
        <v>643.11</v>
      </c>
      <c r="M46" s="28">
        <f t="shared" si="2"/>
        <v>90035.4</v>
      </c>
      <c r="N46" s="28">
        <f t="shared" si="3"/>
        <v>108936.19221238937</v>
      </c>
      <c r="O46" s="2">
        <v>1</v>
      </c>
      <c r="P46" s="2">
        <v>1</v>
      </c>
      <c r="Q46" s="2">
        <v>0</v>
      </c>
      <c r="R46" s="2">
        <v>0</v>
      </c>
      <c r="S46" s="2">
        <v>0</v>
      </c>
      <c r="T46" s="2">
        <v>0</v>
      </c>
      <c r="U46" s="9">
        <v>2</v>
      </c>
      <c r="V46" s="9">
        <v>75</v>
      </c>
      <c r="W46" s="9">
        <v>101.19617</v>
      </c>
      <c r="X46" s="9" t="s">
        <v>140</v>
      </c>
      <c r="Y46" s="4">
        <f t="shared" si="4"/>
        <v>0.15</v>
      </c>
      <c r="Z46" s="1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 s="4">
        <v>1</v>
      </c>
      <c r="AH46" s="9">
        <v>0</v>
      </c>
      <c r="AI46" s="13">
        <v>60</v>
      </c>
      <c r="AJ46" s="16">
        <v>10</v>
      </c>
      <c r="AK46" s="16">
        <v>96</v>
      </c>
      <c r="AL46" s="16">
        <v>0</v>
      </c>
      <c r="AM46" s="16">
        <v>0</v>
      </c>
      <c r="AN46" s="36">
        <v>0</v>
      </c>
      <c r="AO46" s="1">
        <v>0</v>
      </c>
    </row>
    <row r="47" spans="1:41" ht="32.1" customHeight="1" x14ac:dyDescent="0.15">
      <c r="A47" s="9" t="s">
        <v>10</v>
      </c>
      <c r="B47" s="10" t="s">
        <v>81</v>
      </c>
      <c r="C47" s="21">
        <v>14095.330796460179</v>
      </c>
      <c r="D47" s="21">
        <f>44756.76/1.13</f>
        <v>39607.752212389387</v>
      </c>
      <c r="E47" s="19">
        <f t="shared" si="17"/>
        <v>53703.083008849564</v>
      </c>
      <c r="F47" s="17">
        <f t="shared" si="15"/>
        <v>17652.317999999999</v>
      </c>
      <c r="G47" s="17">
        <f t="shared" si="16"/>
        <v>28283.082000000002</v>
      </c>
      <c r="H47" s="17">
        <f t="shared" si="18"/>
        <v>3985.539320353982</v>
      </c>
      <c r="I47" s="17">
        <f t="shared" si="19"/>
        <v>18341.451952269024</v>
      </c>
      <c r="J47" s="19">
        <f t="shared" si="20"/>
        <v>2901.4726252176993</v>
      </c>
      <c r="K47" s="19">
        <f t="shared" si="21"/>
        <v>124866.94690669027</v>
      </c>
      <c r="L47" s="9">
        <v>328.11</v>
      </c>
      <c r="M47" s="28">
        <f t="shared" si="2"/>
        <v>45935.4</v>
      </c>
      <c r="N47" s="28">
        <f t="shared" si="3"/>
        <v>99638.483008849551</v>
      </c>
      <c r="O47" s="2">
        <v>1</v>
      </c>
      <c r="P47" s="2">
        <v>1</v>
      </c>
      <c r="Q47" s="2">
        <v>1</v>
      </c>
      <c r="R47" s="2">
        <v>0</v>
      </c>
      <c r="S47" s="2">
        <v>0</v>
      </c>
      <c r="T47" s="2">
        <v>0</v>
      </c>
      <c r="U47" s="9">
        <v>1</v>
      </c>
      <c r="V47" s="9">
        <v>75</v>
      </c>
      <c r="W47" s="9">
        <v>101.19617</v>
      </c>
      <c r="X47" s="9" t="s">
        <v>140</v>
      </c>
      <c r="Y47" s="4">
        <f t="shared" si="4"/>
        <v>0.15</v>
      </c>
      <c r="Z47" s="1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 s="4">
        <v>1</v>
      </c>
      <c r="AH47" s="9">
        <v>0</v>
      </c>
      <c r="AI47" s="13">
        <v>60</v>
      </c>
      <c r="AJ47" s="16">
        <v>10</v>
      </c>
      <c r="AK47" s="16">
        <v>96</v>
      </c>
      <c r="AL47" s="16">
        <v>0</v>
      </c>
      <c r="AM47" s="16">
        <v>0</v>
      </c>
      <c r="AN47" s="36">
        <v>0</v>
      </c>
      <c r="AO47" s="1">
        <v>0</v>
      </c>
    </row>
    <row r="48" spans="1:41" ht="32.1" customHeight="1" x14ac:dyDescent="0.15">
      <c r="A48" s="9" t="s">
        <v>10</v>
      </c>
      <c r="B48" s="10" t="s">
        <v>82</v>
      </c>
      <c r="C48" s="21">
        <v>14095.330796460179</v>
      </c>
      <c r="D48" s="21">
        <f>44756.76/1.13</f>
        <v>39607.752212389387</v>
      </c>
      <c r="E48" s="19">
        <f t="shared" si="17"/>
        <v>53703.083008849564</v>
      </c>
      <c r="F48" s="17">
        <f t="shared" si="15"/>
        <v>17652.317999999999</v>
      </c>
      <c r="G48" s="17">
        <f t="shared" si="16"/>
        <v>28283.082000000002</v>
      </c>
      <c r="H48" s="17">
        <f t="shared" si="18"/>
        <v>3985.539320353982</v>
      </c>
      <c r="I48" s="17">
        <f t="shared" si="19"/>
        <v>18341.451952269024</v>
      </c>
      <c r="J48" s="19">
        <f t="shared" si="20"/>
        <v>2901.4726252176993</v>
      </c>
      <c r="K48" s="19">
        <f t="shared" si="21"/>
        <v>124866.94690669027</v>
      </c>
      <c r="L48" s="9">
        <v>328.11</v>
      </c>
      <c r="M48" s="28">
        <f t="shared" si="2"/>
        <v>45935.4</v>
      </c>
      <c r="N48" s="28">
        <f t="shared" si="3"/>
        <v>99638.483008849551</v>
      </c>
      <c r="O48" s="2">
        <v>1</v>
      </c>
      <c r="P48" s="2">
        <v>1</v>
      </c>
      <c r="Q48" s="2">
        <v>1</v>
      </c>
      <c r="R48" s="2">
        <v>0</v>
      </c>
      <c r="S48" s="2">
        <v>0</v>
      </c>
      <c r="T48" s="2">
        <v>0</v>
      </c>
      <c r="U48" s="9">
        <v>1</v>
      </c>
      <c r="V48" s="9">
        <v>75</v>
      </c>
      <c r="W48" s="9">
        <v>101.19617</v>
      </c>
      <c r="X48" s="9" t="s">
        <v>140</v>
      </c>
      <c r="Y48" s="4">
        <f t="shared" si="4"/>
        <v>0.15</v>
      </c>
      <c r="Z48" s="1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 s="4">
        <v>1</v>
      </c>
      <c r="AH48" s="9">
        <v>0</v>
      </c>
      <c r="AI48" s="13">
        <v>60</v>
      </c>
      <c r="AJ48" s="16">
        <v>10</v>
      </c>
      <c r="AK48" s="16">
        <v>96</v>
      </c>
      <c r="AL48" s="16">
        <v>0</v>
      </c>
      <c r="AM48" s="16">
        <v>0</v>
      </c>
      <c r="AN48" s="36">
        <v>0</v>
      </c>
      <c r="AO48" s="1">
        <v>0</v>
      </c>
    </row>
    <row r="49" spans="1:41" ht="32.1" customHeight="1" x14ac:dyDescent="0.15">
      <c r="A49" s="9" t="s">
        <v>10</v>
      </c>
      <c r="B49" s="10" t="s">
        <v>83</v>
      </c>
      <c r="C49" s="21">
        <v>18131.761946902654</v>
      </c>
      <c r="D49" s="21">
        <v>620.53097345132755</v>
      </c>
      <c r="E49" s="19">
        <f t="shared" si="17"/>
        <v>18752.292920353982</v>
      </c>
      <c r="F49" s="17">
        <f t="shared" si="15"/>
        <v>48390.41</v>
      </c>
      <c r="G49" s="17">
        <f t="shared" si="16"/>
        <v>77532.590000000011</v>
      </c>
      <c r="H49" s="17">
        <f t="shared" si="18"/>
        <v>5787.0117168141596</v>
      </c>
      <c r="I49" s="17">
        <f t="shared" si="19"/>
        <v>26631.827920778764</v>
      </c>
      <c r="J49" s="19">
        <f t="shared" si="20"/>
        <v>4212.9445298407081</v>
      </c>
      <c r="K49" s="19">
        <f t="shared" si="21"/>
        <v>181307.07708778762</v>
      </c>
      <c r="L49" s="9">
        <v>899.45</v>
      </c>
      <c r="M49" s="28">
        <f t="shared" si="2"/>
        <v>125923.00000000001</v>
      </c>
      <c r="N49" s="28">
        <f t="shared" si="3"/>
        <v>144675.292920354</v>
      </c>
      <c r="O49" s="2">
        <v>1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9">
        <v>2</v>
      </c>
      <c r="V49" s="9">
        <v>75</v>
      </c>
      <c r="W49" s="9">
        <v>101.19617</v>
      </c>
      <c r="X49" s="9" t="s">
        <v>140</v>
      </c>
      <c r="Y49" s="4">
        <f t="shared" si="4"/>
        <v>0.15</v>
      </c>
      <c r="Z49" s="1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 s="4">
        <v>1</v>
      </c>
      <c r="AH49" s="9">
        <v>0</v>
      </c>
      <c r="AI49" s="13">
        <v>60</v>
      </c>
      <c r="AJ49" s="16">
        <v>15</v>
      </c>
      <c r="AK49" s="37">
        <v>240</v>
      </c>
      <c r="AL49" s="16">
        <v>0</v>
      </c>
      <c r="AM49" s="16">
        <v>0</v>
      </c>
      <c r="AN49" s="36">
        <v>0</v>
      </c>
      <c r="AO49" s="9">
        <v>1</v>
      </c>
    </row>
    <row r="50" spans="1:41" ht="32.1" customHeight="1" x14ac:dyDescent="0.15">
      <c r="A50" s="9" t="s">
        <v>10</v>
      </c>
      <c r="B50" s="10" t="s">
        <v>84</v>
      </c>
      <c r="C50" s="21">
        <v>18131.761946902654</v>
      </c>
      <c r="D50" s="21">
        <v>620.53097345132755</v>
      </c>
      <c r="E50" s="19">
        <f t="shared" si="17"/>
        <v>18752.292920353982</v>
      </c>
      <c r="F50" s="17">
        <f t="shared" si="15"/>
        <v>48390.41</v>
      </c>
      <c r="G50" s="17">
        <f t="shared" si="16"/>
        <v>77532.590000000011</v>
      </c>
      <c r="H50" s="17">
        <f t="shared" si="18"/>
        <v>5787.0117168141596</v>
      </c>
      <c r="I50" s="17">
        <f t="shared" si="19"/>
        <v>26631.827920778764</v>
      </c>
      <c r="J50" s="19">
        <f t="shared" si="20"/>
        <v>4212.9445298407081</v>
      </c>
      <c r="K50" s="19">
        <f t="shared" si="21"/>
        <v>181307.07708778762</v>
      </c>
      <c r="L50" s="9">
        <v>899.45</v>
      </c>
      <c r="M50" s="28">
        <f t="shared" si="2"/>
        <v>125923.00000000001</v>
      </c>
      <c r="N50" s="28">
        <f t="shared" si="3"/>
        <v>144675.292920354</v>
      </c>
      <c r="O50" s="2">
        <v>1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9">
        <v>2</v>
      </c>
      <c r="V50" s="9">
        <v>75</v>
      </c>
      <c r="W50" s="9">
        <v>101.19617</v>
      </c>
      <c r="X50" s="9" t="s">
        <v>140</v>
      </c>
      <c r="Y50" s="4">
        <f t="shared" si="4"/>
        <v>0.15</v>
      </c>
      <c r="Z50" s="1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s="4">
        <v>1</v>
      </c>
      <c r="AH50" s="9">
        <v>0</v>
      </c>
      <c r="AI50" s="13">
        <v>60</v>
      </c>
      <c r="AJ50" s="16">
        <v>15</v>
      </c>
      <c r="AK50" s="37">
        <v>240</v>
      </c>
      <c r="AL50" s="16">
        <v>0</v>
      </c>
      <c r="AM50" s="16">
        <v>0</v>
      </c>
      <c r="AN50" s="36">
        <v>0</v>
      </c>
      <c r="AO50" s="9">
        <v>1</v>
      </c>
    </row>
    <row r="51" spans="1:41" ht="32.1" customHeight="1" x14ac:dyDescent="0.15">
      <c r="A51" s="9" t="s">
        <v>10</v>
      </c>
      <c r="B51" s="10" t="s">
        <v>85</v>
      </c>
      <c r="C51" s="21">
        <f>73376.35/6</f>
        <v>12229.391666666668</v>
      </c>
      <c r="D51" s="21">
        <v>609.38053097345153</v>
      </c>
      <c r="E51" s="19">
        <f t="shared" si="17"/>
        <v>12838.772197640119</v>
      </c>
      <c r="F51" s="17">
        <f t="shared" si="15"/>
        <v>33716.998</v>
      </c>
      <c r="G51" s="17">
        <f t="shared" si="16"/>
        <v>54022.402000000002</v>
      </c>
      <c r="H51" s="17">
        <f t="shared" si="18"/>
        <v>4023.1268879056047</v>
      </c>
      <c r="I51" s="17">
        <f t="shared" si="19"/>
        <v>18514.429938141591</v>
      </c>
      <c r="J51" s="19">
        <f t="shared" si="20"/>
        <v>2928.83637439528</v>
      </c>
      <c r="K51" s="19">
        <f t="shared" si="21"/>
        <v>126044.56539808259</v>
      </c>
      <c r="L51" s="9">
        <v>626.71</v>
      </c>
      <c r="M51" s="28">
        <f t="shared" si="2"/>
        <v>87739.4</v>
      </c>
      <c r="N51" s="28">
        <f t="shared" si="3"/>
        <v>100578.17219764012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9">
        <v>1</v>
      </c>
      <c r="V51" s="9">
        <v>75</v>
      </c>
      <c r="W51" s="9">
        <v>101.19617</v>
      </c>
      <c r="X51" s="9" t="s">
        <v>140</v>
      </c>
      <c r="Y51" s="4">
        <f t="shared" si="4"/>
        <v>0.15</v>
      </c>
      <c r="Z51" s="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 s="4">
        <v>1</v>
      </c>
      <c r="AH51" s="9">
        <v>0</v>
      </c>
      <c r="AI51" s="13">
        <v>60</v>
      </c>
      <c r="AJ51" s="16">
        <v>15</v>
      </c>
      <c r="AK51" s="37">
        <v>240</v>
      </c>
      <c r="AL51" s="16">
        <v>0</v>
      </c>
      <c r="AM51" s="16">
        <v>0</v>
      </c>
      <c r="AN51" s="36">
        <v>0</v>
      </c>
      <c r="AO51" s="9">
        <v>1</v>
      </c>
    </row>
    <row r="52" spans="1:41" ht="32.1" customHeight="1" x14ac:dyDescent="0.15">
      <c r="A52" s="9" t="s">
        <v>10</v>
      </c>
      <c r="B52" s="10" t="s">
        <v>86</v>
      </c>
      <c r="C52" s="21">
        <v>14347.226106194692</v>
      </c>
      <c r="D52" s="21">
        <v>21518.318584070803</v>
      </c>
      <c r="E52" s="19">
        <f t="shared" si="17"/>
        <v>35865.544690265495</v>
      </c>
      <c r="F52" s="17">
        <f t="shared" si="15"/>
        <v>39123.360000000001</v>
      </c>
      <c r="G52" s="17">
        <f t="shared" si="16"/>
        <v>62684.640000000007</v>
      </c>
      <c r="H52" s="17">
        <f t="shared" si="18"/>
        <v>5506.9417876106199</v>
      </c>
      <c r="I52" s="17">
        <f t="shared" si="19"/>
        <v>25342.94610658407</v>
      </c>
      <c r="J52" s="19">
        <f t="shared" si="20"/>
        <v>4009.0536213805312</v>
      </c>
      <c r="K52" s="19">
        <f t="shared" si="21"/>
        <v>172532.48620584072</v>
      </c>
      <c r="L52" s="9">
        <v>727.2</v>
      </c>
      <c r="M52" s="28">
        <f t="shared" si="2"/>
        <v>101808</v>
      </c>
      <c r="N52" s="28">
        <f t="shared" si="3"/>
        <v>137673.54469026549</v>
      </c>
      <c r="O52" s="2">
        <v>1</v>
      </c>
      <c r="P52" s="2">
        <v>1</v>
      </c>
      <c r="Q52" s="2">
        <v>1</v>
      </c>
      <c r="R52" s="2">
        <v>0</v>
      </c>
      <c r="S52" s="2">
        <v>0</v>
      </c>
      <c r="T52" s="2">
        <v>0</v>
      </c>
      <c r="U52" s="9">
        <v>1</v>
      </c>
      <c r="V52" s="9">
        <v>75</v>
      </c>
      <c r="W52" s="9">
        <v>101.19617</v>
      </c>
      <c r="X52" s="9" t="s">
        <v>140</v>
      </c>
      <c r="Y52" s="4">
        <f t="shared" si="4"/>
        <v>0.15</v>
      </c>
      <c r="Z52" s="1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 s="4">
        <v>1</v>
      </c>
      <c r="AH52" s="9">
        <v>0</v>
      </c>
      <c r="AI52" s="13">
        <v>60</v>
      </c>
      <c r="AJ52" s="16">
        <v>15</v>
      </c>
      <c r="AK52" s="37">
        <v>240</v>
      </c>
      <c r="AL52" s="16">
        <v>0</v>
      </c>
      <c r="AM52" s="16">
        <v>0</v>
      </c>
      <c r="AN52" s="36">
        <v>0</v>
      </c>
      <c r="AO52" s="9">
        <v>1</v>
      </c>
    </row>
    <row r="53" spans="1:41" ht="32.1" customHeight="1" x14ac:dyDescent="0.15">
      <c r="A53" s="9" t="s">
        <v>10</v>
      </c>
      <c r="B53" s="10" t="s">
        <v>87</v>
      </c>
      <c r="C53" s="21">
        <v>14347.226106194692</v>
      </c>
      <c r="D53" s="21">
        <v>21078.495575221245</v>
      </c>
      <c r="E53" s="19">
        <f t="shared" si="17"/>
        <v>35425.721681415933</v>
      </c>
      <c r="F53" s="17">
        <f t="shared" si="15"/>
        <v>39123.360000000001</v>
      </c>
      <c r="G53" s="17">
        <f t="shared" si="16"/>
        <v>62684.640000000007</v>
      </c>
      <c r="H53" s="17">
        <f t="shared" si="18"/>
        <v>5489.3488672566382</v>
      </c>
      <c r="I53" s="17">
        <f t="shared" si="19"/>
        <v>25261.983487115045</v>
      </c>
      <c r="J53" s="19">
        <f t="shared" si="20"/>
        <v>3996.2459753628323</v>
      </c>
      <c r="K53" s="19">
        <f t="shared" si="21"/>
        <v>171981.30001115045</v>
      </c>
      <c r="L53" s="9">
        <v>727.2</v>
      </c>
      <c r="M53" s="28">
        <f t="shared" si="2"/>
        <v>101808</v>
      </c>
      <c r="N53" s="28">
        <f t="shared" si="3"/>
        <v>137233.72168141595</v>
      </c>
      <c r="O53" s="2">
        <v>1</v>
      </c>
      <c r="P53" s="2">
        <v>1</v>
      </c>
      <c r="Q53" s="2">
        <v>1</v>
      </c>
      <c r="R53" s="2">
        <v>0</v>
      </c>
      <c r="S53" s="2">
        <v>0</v>
      </c>
      <c r="T53" s="2">
        <v>0</v>
      </c>
      <c r="U53" s="9">
        <v>1</v>
      </c>
      <c r="V53" s="9">
        <v>75</v>
      </c>
      <c r="W53" s="9">
        <v>101.19617</v>
      </c>
      <c r="X53" s="9" t="s">
        <v>140</v>
      </c>
      <c r="Y53" s="4">
        <f t="shared" si="4"/>
        <v>0.15</v>
      </c>
      <c r="Z53" s="1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 s="4">
        <v>1</v>
      </c>
      <c r="AH53" s="9">
        <v>0</v>
      </c>
      <c r="AI53" s="13">
        <v>60</v>
      </c>
      <c r="AJ53" s="16">
        <v>15</v>
      </c>
      <c r="AK53" s="37">
        <v>240</v>
      </c>
      <c r="AL53" s="16">
        <v>0</v>
      </c>
      <c r="AM53" s="16">
        <v>0</v>
      </c>
      <c r="AN53" s="36">
        <v>0</v>
      </c>
      <c r="AO53" s="9">
        <v>1</v>
      </c>
    </row>
    <row r="54" spans="1:41" ht="32.1" customHeight="1" x14ac:dyDescent="0.15">
      <c r="A54" s="4" t="s">
        <v>12</v>
      </c>
      <c r="B54" s="10" t="s">
        <v>88</v>
      </c>
      <c r="C54" s="17">
        <f>23749.84/2</f>
        <v>11874.92</v>
      </c>
      <c r="D54" s="17">
        <f>16203.54/2</f>
        <v>8101.77</v>
      </c>
      <c r="E54" s="19">
        <f t="shared" si="17"/>
        <v>19976.690000000002</v>
      </c>
      <c r="F54" s="17">
        <f t="shared" si="15"/>
        <v>32452.16</v>
      </c>
      <c r="G54" s="17">
        <f t="shared" si="16"/>
        <v>51995.840000000004</v>
      </c>
      <c r="H54" s="17">
        <f t="shared" si="18"/>
        <v>4176.9876000000004</v>
      </c>
      <c r="I54" s="17">
        <f t="shared" si="19"/>
        <v>19222.496935199997</v>
      </c>
      <c r="J54" s="19">
        <f t="shared" si="20"/>
        <v>3040.8469728</v>
      </c>
      <c r="K54" s="19">
        <f t="shared" si="21"/>
        <v>130865.02150800001</v>
      </c>
      <c r="L54" s="9">
        <v>603.20000000000005</v>
      </c>
      <c r="M54" s="28">
        <f t="shared" si="2"/>
        <v>84448</v>
      </c>
      <c r="N54" s="28">
        <f t="shared" si="3"/>
        <v>104424.69</v>
      </c>
      <c r="O54" s="2">
        <v>0</v>
      </c>
      <c r="P54" s="2">
        <v>1</v>
      </c>
      <c r="Q54" s="2">
        <v>0</v>
      </c>
      <c r="R54" s="2">
        <v>0</v>
      </c>
      <c r="S54" s="2">
        <v>0</v>
      </c>
      <c r="T54" s="2">
        <v>0</v>
      </c>
      <c r="U54" s="9">
        <v>2</v>
      </c>
      <c r="V54" s="9">
        <v>91</v>
      </c>
      <c r="W54" s="4">
        <v>150.70445000000001</v>
      </c>
      <c r="X54" s="4" t="s">
        <v>141</v>
      </c>
      <c r="Y54" s="4">
        <v>1</v>
      </c>
      <c r="Z54" s="1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 s="4">
        <v>1</v>
      </c>
      <c r="AH54" s="4">
        <v>1</v>
      </c>
      <c r="AI54" s="16">
        <v>30</v>
      </c>
      <c r="AJ54" s="16">
        <v>15</v>
      </c>
      <c r="AK54" s="37">
        <v>240</v>
      </c>
      <c r="AL54" s="16">
        <v>0</v>
      </c>
      <c r="AM54" s="16">
        <v>0</v>
      </c>
      <c r="AN54" s="36">
        <v>0</v>
      </c>
      <c r="AO54" s="9">
        <v>1</v>
      </c>
    </row>
    <row r="55" spans="1:41" ht="32.1" customHeight="1" x14ac:dyDescent="0.15">
      <c r="A55" s="4" t="s">
        <v>13</v>
      </c>
      <c r="B55" s="10" t="s">
        <v>89</v>
      </c>
      <c r="C55" s="17">
        <f>59736.24/2</f>
        <v>29868.12</v>
      </c>
      <c r="D55" s="17">
        <f>1435.08/2</f>
        <v>717.54</v>
      </c>
      <c r="E55" s="19">
        <f t="shared" si="17"/>
        <v>30585.66</v>
      </c>
      <c r="F55" s="17">
        <f t="shared" si="15"/>
        <v>38263.635999999999</v>
      </c>
      <c r="G55" s="17">
        <f t="shared" si="16"/>
        <v>61307.164000000004</v>
      </c>
      <c r="H55" s="17">
        <f t="shared" si="18"/>
        <v>5206.2584000000006</v>
      </c>
      <c r="I55" s="17">
        <f t="shared" si="19"/>
        <v>23959.201156800002</v>
      </c>
      <c r="J55" s="19">
        <f t="shared" si="20"/>
        <v>3790.1561152000004</v>
      </c>
      <c r="K55" s="19">
        <f t="shared" si="21"/>
        <v>163112.07567200001</v>
      </c>
      <c r="L55" s="9">
        <v>711.22</v>
      </c>
      <c r="M55" s="28">
        <f t="shared" si="2"/>
        <v>99570.8</v>
      </c>
      <c r="N55" s="28">
        <f t="shared" si="3"/>
        <v>130156.46</v>
      </c>
      <c r="O55" s="2">
        <v>1</v>
      </c>
      <c r="P55" s="2">
        <v>1</v>
      </c>
      <c r="Q55" s="2">
        <v>0</v>
      </c>
      <c r="R55" s="2">
        <v>0</v>
      </c>
      <c r="S55" s="2">
        <v>0</v>
      </c>
      <c r="T55" s="2">
        <v>0</v>
      </c>
      <c r="U55" s="9">
        <v>2</v>
      </c>
      <c r="V55" s="9">
        <v>91</v>
      </c>
      <c r="W55" s="4">
        <v>150.70445000000001</v>
      </c>
      <c r="X55" s="4" t="s">
        <v>140</v>
      </c>
      <c r="Y55" s="4">
        <f t="shared" ref="Y55:Y57" si="22">9/60</f>
        <v>0.15</v>
      </c>
      <c r="Z55" s="1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4">
        <v>1</v>
      </c>
      <c r="AH55" s="9">
        <v>0</v>
      </c>
      <c r="AI55" s="16">
        <v>30</v>
      </c>
      <c r="AJ55" s="16"/>
      <c r="AK55" s="16"/>
      <c r="AL55" s="16">
        <v>0</v>
      </c>
      <c r="AM55" s="16">
        <v>0</v>
      </c>
      <c r="AN55" s="36">
        <v>0</v>
      </c>
      <c r="AO55" s="9">
        <v>1</v>
      </c>
    </row>
    <row r="56" spans="1:41" ht="32.1" customHeight="1" x14ac:dyDescent="0.15">
      <c r="A56" s="4" t="s">
        <v>13</v>
      </c>
      <c r="B56" s="10" t="s">
        <v>37</v>
      </c>
      <c r="C56" s="17">
        <f>46677.26/2</f>
        <v>23338.63</v>
      </c>
      <c r="D56" s="17">
        <f>33876.5/2</f>
        <v>16938.25</v>
      </c>
      <c r="E56" s="19">
        <f t="shared" si="17"/>
        <v>40276.880000000005</v>
      </c>
      <c r="F56" s="17">
        <f t="shared" si="15"/>
        <v>31535.945999999996</v>
      </c>
      <c r="G56" s="17">
        <f t="shared" si="16"/>
        <v>50527.853999999999</v>
      </c>
      <c r="H56" s="17">
        <f t="shared" si="18"/>
        <v>4893.6271999999999</v>
      </c>
      <c r="I56" s="17">
        <f t="shared" si="19"/>
        <v>22520.472374399997</v>
      </c>
      <c r="J56" s="19">
        <f t="shared" si="20"/>
        <v>3562.5606016000002</v>
      </c>
      <c r="K56" s="19">
        <f t="shared" si="21"/>
        <v>153317.340176</v>
      </c>
      <c r="L56" s="9">
        <v>586.16999999999996</v>
      </c>
      <c r="M56" s="28">
        <f t="shared" si="2"/>
        <v>82063.799999999988</v>
      </c>
      <c r="N56" s="28">
        <f t="shared" si="3"/>
        <v>122340.68</v>
      </c>
      <c r="O56" s="2">
        <v>1</v>
      </c>
      <c r="P56" s="2">
        <v>1</v>
      </c>
      <c r="Q56" s="2">
        <v>1</v>
      </c>
      <c r="R56" s="2">
        <v>0</v>
      </c>
      <c r="S56" s="2">
        <v>0</v>
      </c>
      <c r="T56" s="2">
        <v>0</v>
      </c>
      <c r="U56" s="9">
        <v>2</v>
      </c>
      <c r="V56" s="9">
        <v>91</v>
      </c>
      <c r="W56" s="4">
        <v>150.70445000000001</v>
      </c>
      <c r="X56" s="4" t="s">
        <v>140</v>
      </c>
      <c r="Y56" s="4">
        <f t="shared" si="22"/>
        <v>0.15</v>
      </c>
      <c r="Z56" s="1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 s="4">
        <v>1</v>
      </c>
      <c r="AH56" s="9">
        <v>0</v>
      </c>
      <c r="AI56" s="16">
        <v>30</v>
      </c>
      <c r="AJ56" s="16"/>
      <c r="AK56" s="16"/>
      <c r="AL56" s="16">
        <v>0</v>
      </c>
      <c r="AM56" s="16">
        <v>0</v>
      </c>
      <c r="AN56" s="36">
        <v>0</v>
      </c>
      <c r="AO56" s="9">
        <v>1</v>
      </c>
    </row>
    <row r="57" spans="1:41" ht="32.1" customHeight="1" x14ac:dyDescent="0.15">
      <c r="A57" s="4" t="s">
        <v>13</v>
      </c>
      <c r="B57" s="10" t="s">
        <v>38</v>
      </c>
      <c r="C57" s="17">
        <f>38919.54/2</f>
        <v>19459.77</v>
      </c>
      <c r="D57" s="17">
        <f>1289.06/2</f>
        <v>644.53</v>
      </c>
      <c r="E57" s="19">
        <f t="shared" si="17"/>
        <v>20104.3</v>
      </c>
      <c r="F57" s="17">
        <f t="shared" si="15"/>
        <v>24582.295999999998</v>
      </c>
      <c r="G57" s="17">
        <f t="shared" si="16"/>
        <v>39386.504000000001</v>
      </c>
      <c r="H57" s="17">
        <f t="shared" si="18"/>
        <v>3362.9240000000004</v>
      </c>
      <c r="I57" s="17">
        <f t="shared" si="19"/>
        <v>15476.176248</v>
      </c>
      <c r="J57" s="19">
        <f t="shared" si="20"/>
        <v>2448.2086720000002</v>
      </c>
      <c r="K57" s="19">
        <f t="shared" si="21"/>
        <v>105360.40892</v>
      </c>
      <c r="L57" s="9">
        <v>456.92</v>
      </c>
      <c r="M57" s="28">
        <f t="shared" si="2"/>
        <v>63968.800000000003</v>
      </c>
      <c r="N57" s="28">
        <f t="shared" si="3"/>
        <v>84073.1</v>
      </c>
      <c r="O57" s="2">
        <v>1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9">
        <v>3</v>
      </c>
      <c r="V57" s="9">
        <v>91</v>
      </c>
      <c r="W57" s="4">
        <v>150.70445000000001</v>
      </c>
      <c r="X57" s="4" t="s">
        <v>140</v>
      </c>
      <c r="Y57" s="4">
        <f t="shared" si="22"/>
        <v>0.15</v>
      </c>
      <c r="Z57" s="1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s="4">
        <v>1</v>
      </c>
      <c r="AH57" s="9">
        <v>0</v>
      </c>
      <c r="AI57" s="16">
        <v>30</v>
      </c>
      <c r="AJ57" s="16"/>
      <c r="AK57" s="16"/>
      <c r="AL57" s="16">
        <v>0</v>
      </c>
      <c r="AM57" s="16">
        <v>0</v>
      </c>
      <c r="AN57" s="36">
        <v>0</v>
      </c>
      <c r="AO57" s="9">
        <v>1</v>
      </c>
    </row>
    <row r="58" spans="1:41" ht="32.1" customHeight="1" x14ac:dyDescent="0.15">
      <c r="A58" s="9" t="s">
        <v>14</v>
      </c>
      <c r="B58" s="10" t="s">
        <v>90</v>
      </c>
      <c r="C58" s="21">
        <f>24468.63/1.13</f>
        <v>21653.654867256639</v>
      </c>
      <c r="D58" s="21">
        <f>13140.9/1.13</f>
        <v>11629.115044247788</v>
      </c>
      <c r="E58" s="19">
        <f t="shared" si="17"/>
        <v>33282.769911504423</v>
      </c>
      <c r="F58" s="17">
        <f t="shared" si="15"/>
        <v>18653.536</v>
      </c>
      <c r="G58" s="17">
        <f t="shared" si="16"/>
        <v>29887.264000000003</v>
      </c>
      <c r="H58" s="17">
        <f t="shared" si="18"/>
        <v>3272.9427964601773</v>
      </c>
      <c r="I58" s="17">
        <f t="shared" si="19"/>
        <v>15062.082749309735</v>
      </c>
      <c r="J58" s="19">
        <f t="shared" si="20"/>
        <v>2382.7023558230089</v>
      </c>
      <c r="K58" s="19">
        <f t="shared" si="21"/>
        <v>102541.29781309735</v>
      </c>
      <c r="L58" s="9">
        <v>346.72</v>
      </c>
      <c r="M58" s="28">
        <f t="shared" si="2"/>
        <v>48540.800000000003</v>
      </c>
      <c r="N58" s="28">
        <f t="shared" si="3"/>
        <v>81823.569911504426</v>
      </c>
      <c r="O58" s="2">
        <v>1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9">
        <v>1</v>
      </c>
      <c r="V58" s="9">
        <v>130</v>
      </c>
      <c r="W58" s="9">
        <v>82.42</v>
      </c>
      <c r="X58" s="9" t="s">
        <v>142</v>
      </c>
      <c r="Y58" s="9">
        <v>0.4</v>
      </c>
      <c r="Z58" s="1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 s="9">
        <v>0</v>
      </c>
      <c r="AH58" s="4">
        <v>1</v>
      </c>
      <c r="AI58" s="16">
        <v>30</v>
      </c>
      <c r="AJ58" s="13">
        <v>10</v>
      </c>
      <c r="AK58" s="16">
        <v>96</v>
      </c>
      <c r="AL58" s="13">
        <v>6.5</v>
      </c>
      <c r="AM58" s="13">
        <v>7.2</v>
      </c>
      <c r="AN58" s="36">
        <v>0</v>
      </c>
      <c r="AO58" s="1">
        <v>0</v>
      </c>
    </row>
    <row r="59" spans="1:41" ht="32.1" customHeight="1" x14ac:dyDescent="0.15">
      <c r="A59" s="9" t="s">
        <v>14</v>
      </c>
      <c r="B59" s="10" t="s">
        <v>25</v>
      </c>
      <c r="C59" s="21">
        <f>24468.63/1.13</f>
        <v>21653.654867256639</v>
      </c>
      <c r="D59" s="21">
        <f>13140.9/1.13</f>
        <v>11629.115044247788</v>
      </c>
      <c r="E59" s="19">
        <f t="shared" si="17"/>
        <v>33282.769911504423</v>
      </c>
      <c r="F59" s="17">
        <f t="shared" ref="F59:F89" si="23">L59*53.8</f>
        <v>18653.536</v>
      </c>
      <c r="G59" s="17">
        <f t="shared" ref="G59:G89" si="24">L59*86.2</f>
        <v>29887.264000000003</v>
      </c>
      <c r="H59" s="17">
        <f t="shared" si="18"/>
        <v>3272.9427964601773</v>
      </c>
      <c r="I59" s="17">
        <f t="shared" si="19"/>
        <v>15062.082749309735</v>
      </c>
      <c r="J59" s="19">
        <f t="shared" si="20"/>
        <v>2382.7023558230089</v>
      </c>
      <c r="K59" s="19">
        <f t="shared" si="21"/>
        <v>102541.29781309735</v>
      </c>
      <c r="L59" s="9">
        <v>346.72</v>
      </c>
      <c r="M59" s="28">
        <f t="shared" si="2"/>
        <v>48540.800000000003</v>
      </c>
      <c r="N59" s="28">
        <f t="shared" si="3"/>
        <v>81823.569911504426</v>
      </c>
      <c r="O59" s="2">
        <v>1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9">
        <v>1</v>
      </c>
      <c r="V59" s="9">
        <v>130</v>
      </c>
      <c r="W59" s="9">
        <v>82.42</v>
      </c>
      <c r="X59" s="9" t="s">
        <v>142</v>
      </c>
      <c r="Y59" s="9">
        <v>0.4</v>
      </c>
      <c r="Z59" s="1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 s="9">
        <v>0</v>
      </c>
      <c r="AH59" s="4">
        <v>1</v>
      </c>
      <c r="AI59" s="16">
        <v>30</v>
      </c>
      <c r="AJ59" s="13">
        <v>10</v>
      </c>
      <c r="AK59" s="16">
        <v>96</v>
      </c>
      <c r="AL59" s="13">
        <v>6.5</v>
      </c>
      <c r="AM59" s="13">
        <v>7.2</v>
      </c>
      <c r="AN59" s="36">
        <v>0</v>
      </c>
      <c r="AO59" s="1">
        <v>0</v>
      </c>
    </row>
    <row r="60" spans="1:41" ht="32.1" customHeight="1" x14ac:dyDescent="0.15">
      <c r="A60" s="9" t="s">
        <v>14</v>
      </c>
      <c r="B60" s="10" t="s">
        <v>26</v>
      </c>
      <c r="C60" s="21">
        <f>24468.63/1.13</f>
        <v>21653.654867256639</v>
      </c>
      <c r="D60" s="21">
        <f>13140.9/1.13</f>
        <v>11629.115044247788</v>
      </c>
      <c r="E60" s="19">
        <f t="shared" si="17"/>
        <v>33282.769911504423</v>
      </c>
      <c r="F60" s="17">
        <f t="shared" si="23"/>
        <v>18653.536</v>
      </c>
      <c r="G60" s="17">
        <f t="shared" si="24"/>
        <v>29887.264000000003</v>
      </c>
      <c r="H60" s="17">
        <f t="shared" si="18"/>
        <v>3272.9427964601773</v>
      </c>
      <c r="I60" s="17">
        <f t="shared" si="19"/>
        <v>15062.082749309735</v>
      </c>
      <c r="J60" s="19">
        <f t="shared" si="20"/>
        <v>2382.7023558230089</v>
      </c>
      <c r="K60" s="19">
        <f t="shared" si="21"/>
        <v>102541.29781309735</v>
      </c>
      <c r="L60" s="9">
        <v>346.72</v>
      </c>
      <c r="M60" s="28">
        <f t="shared" ref="M60:M110" si="25">F60+G60</f>
        <v>48540.800000000003</v>
      </c>
      <c r="N60" s="28">
        <f t="shared" ref="N60:N110" si="26">E60+F60+G60</f>
        <v>81823.569911504426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9">
        <v>1</v>
      </c>
      <c r="V60" s="9">
        <v>130</v>
      </c>
      <c r="W60" s="9">
        <v>82.42</v>
      </c>
      <c r="X60" s="9" t="s">
        <v>142</v>
      </c>
      <c r="Y60" s="9">
        <v>0.4</v>
      </c>
      <c r="Z60" s="1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 s="9">
        <v>0</v>
      </c>
      <c r="AH60" s="4">
        <v>1</v>
      </c>
      <c r="AI60" s="16">
        <v>30</v>
      </c>
      <c r="AJ60" s="13">
        <v>10</v>
      </c>
      <c r="AK60" s="16">
        <v>96</v>
      </c>
      <c r="AL60" s="13">
        <v>6.5</v>
      </c>
      <c r="AM60" s="13">
        <v>7.2</v>
      </c>
      <c r="AN60" s="36">
        <v>0</v>
      </c>
      <c r="AO60" s="1">
        <v>0</v>
      </c>
    </row>
    <row r="61" spans="1:41" ht="32.1" customHeight="1" x14ac:dyDescent="0.15">
      <c r="A61" s="9" t="s">
        <v>14</v>
      </c>
      <c r="B61" s="10" t="s">
        <v>27</v>
      </c>
      <c r="C61" s="21">
        <f>20222.75/1.13</f>
        <v>17896.238938053099</v>
      </c>
      <c r="D61" s="21">
        <f>13300.9/1.13</f>
        <v>11770.70796460177</v>
      </c>
      <c r="E61" s="19">
        <f t="shared" si="17"/>
        <v>29666.946902654869</v>
      </c>
      <c r="F61" s="17">
        <f t="shared" si="23"/>
        <v>17685.136000000002</v>
      </c>
      <c r="G61" s="17">
        <f t="shared" si="24"/>
        <v>28335.664000000004</v>
      </c>
      <c r="H61" s="17">
        <f t="shared" si="18"/>
        <v>3027.5098761061954</v>
      </c>
      <c r="I61" s="17">
        <f t="shared" si="19"/>
        <v>13932.600449840709</v>
      </c>
      <c r="J61" s="19">
        <f t="shared" si="20"/>
        <v>2204.0271898053102</v>
      </c>
      <c r="K61" s="19">
        <f t="shared" si="21"/>
        <v>94851.884418407091</v>
      </c>
      <c r="L61" s="9">
        <v>328.72</v>
      </c>
      <c r="M61" s="28">
        <f t="shared" si="25"/>
        <v>46020.800000000003</v>
      </c>
      <c r="N61" s="28">
        <f t="shared" si="26"/>
        <v>75687.746902654879</v>
      </c>
      <c r="O61" s="2">
        <v>1</v>
      </c>
      <c r="P61" s="2">
        <v>1</v>
      </c>
      <c r="Q61" s="2">
        <v>0</v>
      </c>
      <c r="R61" s="2">
        <v>0</v>
      </c>
      <c r="S61" s="2">
        <v>0</v>
      </c>
      <c r="T61" s="2">
        <v>0</v>
      </c>
      <c r="U61" s="9">
        <v>1</v>
      </c>
      <c r="V61" s="9">
        <v>110</v>
      </c>
      <c r="W61" s="9">
        <v>82.42</v>
      </c>
      <c r="X61" s="9" t="s">
        <v>142</v>
      </c>
      <c r="Y61" s="9">
        <v>0.4</v>
      </c>
      <c r="Z61" s="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 s="9">
        <v>0</v>
      </c>
      <c r="AH61" s="4">
        <v>1</v>
      </c>
      <c r="AI61" s="16">
        <v>30</v>
      </c>
      <c r="AJ61" s="13">
        <v>10</v>
      </c>
      <c r="AK61" s="16">
        <v>96</v>
      </c>
      <c r="AL61" s="13">
        <v>6.5</v>
      </c>
      <c r="AM61" s="13">
        <v>7.2</v>
      </c>
      <c r="AN61" s="36">
        <v>0</v>
      </c>
      <c r="AO61" s="1">
        <v>0</v>
      </c>
    </row>
    <row r="62" spans="1:41" ht="32.1" customHeight="1" x14ac:dyDescent="0.15">
      <c r="A62" s="9" t="s">
        <v>14</v>
      </c>
      <c r="B62" s="10" t="s">
        <v>91</v>
      </c>
      <c r="C62" s="21">
        <f>19971.12/1.13</f>
        <v>17673.557522123894</v>
      </c>
      <c r="D62" s="21">
        <f>13300.9/1.13</f>
        <v>11770.70796460177</v>
      </c>
      <c r="E62" s="19">
        <f t="shared" si="17"/>
        <v>29444.265486725664</v>
      </c>
      <c r="F62" s="17">
        <f t="shared" si="23"/>
        <v>17685.136000000002</v>
      </c>
      <c r="G62" s="17">
        <f t="shared" si="24"/>
        <v>28335.664000000004</v>
      </c>
      <c r="H62" s="17">
        <f t="shared" si="18"/>
        <v>3018.6026194690266</v>
      </c>
      <c r="I62" s="17">
        <f t="shared" si="19"/>
        <v>13891.609254796458</v>
      </c>
      <c r="J62" s="19">
        <f t="shared" si="20"/>
        <v>2197.5427069734515</v>
      </c>
      <c r="K62" s="19">
        <f t="shared" si="21"/>
        <v>94572.820067964596</v>
      </c>
      <c r="L62" s="9">
        <v>328.72</v>
      </c>
      <c r="M62" s="28">
        <f t="shared" si="25"/>
        <v>46020.800000000003</v>
      </c>
      <c r="N62" s="28">
        <f t="shared" si="26"/>
        <v>75465.065486725667</v>
      </c>
      <c r="O62" s="2">
        <v>1</v>
      </c>
      <c r="P62" s="2">
        <v>1</v>
      </c>
      <c r="Q62" s="2">
        <v>0</v>
      </c>
      <c r="R62" s="2">
        <v>0</v>
      </c>
      <c r="S62" s="2">
        <v>0</v>
      </c>
      <c r="T62" s="2">
        <v>0</v>
      </c>
      <c r="U62" s="9">
        <v>1</v>
      </c>
      <c r="V62" s="9">
        <v>110</v>
      </c>
      <c r="W62" s="9">
        <v>82.42</v>
      </c>
      <c r="X62" s="9" t="s">
        <v>142</v>
      </c>
      <c r="Y62" s="9">
        <v>0.4</v>
      </c>
      <c r="Z62" s="1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 s="9">
        <v>0</v>
      </c>
      <c r="AH62" s="4">
        <v>1</v>
      </c>
      <c r="AI62" s="16">
        <v>30</v>
      </c>
      <c r="AJ62" s="13">
        <v>10</v>
      </c>
      <c r="AK62" s="16">
        <v>96</v>
      </c>
      <c r="AL62" s="13">
        <v>6.5</v>
      </c>
      <c r="AM62" s="13">
        <v>7.2</v>
      </c>
      <c r="AN62" s="36">
        <v>0</v>
      </c>
      <c r="AO62" s="1">
        <v>0</v>
      </c>
    </row>
    <row r="63" spans="1:41" ht="32.1" customHeight="1" x14ac:dyDescent="0.15">
      <c r="A63" s="9" t="s">
        <v>14</v>
      </c>
      <c r="B63" s="10" t="s">
        <v>92</v>
      </c>
      <c r="C63" s="21">
        <f>19971.12/1.13</f>
        <v>17673.557522123894</v>
      </c>
      <c r="D63" s="21">
        <f>13300.9/1.13</f>
        <v>11770.70796460177</v>
      </c>
      <c r="E63" s="19">
        <f t="shared" si="17"/>
        <v>29444.265486725664</v>
      </c>
      <c r="F63" s="17">
        <f t="shared" si="23"/>
        <v>17685.136000000002</v>
      </c>
      <c r="G63" s="17">
        <f t="shared" si="24"/>
        <v>28335.664000000004</v>
      </c>
      <c r="H63" s="17">
        <f t="shared" si="18"/>
        <v>3018.6026194690266</v>
      </c>
      <c r="I63" s="17">
        <f t="shared" si="19"/>
        <v>13891.609254796458</v>
      </c>
      <c r="J63" s="19">
        <f t="shared" si="20"/>
        <v>2197.5427069734515</v>
      </c>
      <c r="K63" s="19">
        <f t="shared" si="21"/>
        <v>94572.820067964596</v>
      </c>
      <c r="L63" s="9">
        <v>328.72</v>
      </c>
      <c r="M63" s="28">
        <f t="shared" si="25"/>
        <v>46020.800000000003</v>
      </c>
      <c r="N63" s="28">
        <f t="shared" si="26"/>
        <v>75465.065486725667</v>
      </c>
      <c r="O63" s="2">
        <v>1</v>
      </c>
      <c r="P63" s="2">
        <v>1</v>
      </c>
      <c r="Q63" s="2">
        <v>0</v>
      </c>
      <c r="R63" s="2">
        <v>0</v>
      </c>
      <c r="S63" s="2">
        <v>0</v>
      </c>
      <c r="T63" s="2">
        <v>0</v>
      </c>
      <c r="U63" s="9">
        <v>1</v>
      </c>
      <c r="V63" s="9">
        <v>110</v>
      </c>
      <c r="W63" s="9">
        <v>82.42</v>
      </c>
      <c r="X63" s="9" t="s">
        <v>142</v>
      </c>
      <c r="Y63" s="9">
        <v>0.4</v>
      </c>
      <c r="Z63" s="1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 s="9">
        <v>0</v>
      </c>
      <c r="AH63" s="4">
        <v>1</v>
      </c>
      <c r="AI63" s="16">
        <v>30</v>
      </c>
      <c r="AJ63" s="13">
        <v>10</v>
      </c>
      <c r="AK63" s="16">
        <v>96</v>
      </c>
      <c r="AL63" s="13">
        <v>6.5</v>
      </c>
      <c r="AM63" s="13">
        <v>7.2</v>
      </c>
      <c r="AN63" s="36">
        <v>0</v>
      </c>
      <c r="AO63" s="1">
        <v>0</v>
      </c>
    </row>
    <row r="64" spans="1:41" ht="32.1" customHeight="1" x14ac:dyDescent="0.15">
      <c r="A64" s="9" t="s">
        <v>14</v>
      </c>
      <c r="B64" s="10" t="s">
        <v>93</v>
      </c>
      <c r="C64" s="21">
        <f>24468.63/1.13</f>
        <v>21653.654867256639</v>
      </c>
      <c r="D64" s="21">
        <f>13140.9/1.13</f>
        <v>11629.115044247788</v>
      </c>
      <c r="E64" s="19">
        <f t="shared" si="17"/>
        <v>33282.769911504423</v>
      </c>
      <c r="F64" s="17">
        <f t="shared" si="23"/>
        <v>18200.54</v>
      </c>
      <c r="G64" s="17">
        <f t="shared" si="24"/>
        <v>29161.460000000003</v>
      </c>
      <c r="H64" s="17">
        <f t="shared" si="18"/>
        <v>3225.7907964601768</v>
      </c>
      <c r="I64" s="17">
        <f t="shared" si="19"/>
        <v>14845.089245309733</v>
      </c>
      <c r="J64" s="19">
        <f t="shared" si="20"/>
        <v>2348.3756998230087</v>
      </c>
      <c r="K64" s="19">
        <f t="shared" si="21"/>
        <v>101064.02565309734</v>
      </c>
      <c r="L64" s="9">
        <v>338.3</v>
      </c>
      <c r="M64" s="28">
        <f t="shared" si="25"/>
        <v>47362</v>
      </c>
      <c r="N64" s="28">
        <f t="shared" si="26"/>
        <v>80644.769911504423</v>
      </c>
      <c r="O64" s="2">
        <v>1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9">
        <v>1</v>
      </c>
      <c r="V64" s="9">
        <v>130</v>
      </c>
      <c r="W64" s="9">
        <v>82.42</v>
      </c>
      <c r="X64" s="9" t="s">
        <v>142</v>
      </c>
      <c r="Y64" s="9">
        <v>0.4</v>
      </c>
      <c r="Z64" s="1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 s="9">
        <v>0</v>
      </c>
      <c r="AH64" s="4">
        <v>1</v>
      </c>
      <c r="AI64" s="16">
        <v>30</v>
      </c>
      <c r="AJ64" s="13">
        <v>10</v>
      </c>
      <c r="AK64" s="16">
        <v>96</v>
      </c>
      <c r="AL64" s="13">
        <v>6.5</v>
      </c>
      <c r="AM64" s="13">
        <v>7.2</v>
      </c>
      <c r="AN64" s="36">
        <v>0</v>
      </c>
      <c r="AO64" s="1">
        <v>0</v>
      </c>
    </row>
    <row r="65" spans="1:41" ht="32.1" customHeight="1" x14ac:dyDescent="0.15">
      <c r="A65" s="9" t="s">
        <v>14</v>
      </c>
      <c r="B65" s="10" t="s">
        <v>94</v>
      </c>
      <c r="C65" s="21">
        <f>24468.63/1.13</f>
        <v>21653.654867256639</v>
      </c>
      <c r="D65" s="21">
        <f>13140.9/1.13</f>
        <v>11629.115044247788</v>
      </c>
      <c r="E65" s="19">
        <f t="shared" si="17"/>
        <v>33282.769911504423</v>
      </c>
      <c r="F65" s="17">
        <f t="shared" si="23"/>
        <v>18200.54</v>
      </c>
      <c r="G65" s="17">
        <f t="shared" si="24"/>
        <v>29161.460000000003</v>
      </c>
      <c r="H65" s="17">
        <f t="shared" si="18"/>
        <v>3225.7907964601768</v>
      </c>
      <c r="I65" s="17">
        <f t="shared" si="19"/>
        <v>14845.089245309733</v>
      </c>
      <c r="J65" s="19">
        <f t="shared" si="20"/>
        <v>2348.3756998230087</v>
      </c>
      <c r="K65" s="19">
        <f t="shared" si="21"/>
        <v>101064.02565309734</v>
      </c>
      <c r="L65" s="9">
        <v>338.3</v>
      </c>
      <c r="M65" s="28">
        <f t="shared" si="25"/>
        <v>47362</v>
      </c>
      <c r="N65" s="28">
        <f t="shared" si="26"/>
        <v>80644.769911504423</v>
      </c>
      <c r="O65" s="2">
        <v>1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9">
        <v>1</v>
      </c>
      <c r="V65" s="9">
        <v>130</v>
      </c>
      <c r="W65" s="9">
        <v>82.42</v>
      </c>
      <c r="X65" s="9" t="s">
        <v>142</v>
      </c>
      <c r="Y65" s="9">
        <v>0.4</v>
      </c>
      <c r="Z65" s="1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 s="9">
        <v>0</v>
      </c>
      <c r="AH65" s="4">
        <v>1</v>
      </c>
      <c r="AI65" s="16">
        <v>30</v>
      </c>
      <c r="AJ65" s="13">
        <v>10</v>
      </c>
      <c r="AK65" s="16">
        <v>96</v>
      </c>
      <c r="AL65" s="13">
        <v>6.5</v>
      </c>
      <c r="AM65" s="13">
        <v>7.2</v>
      </c>
      <c r="AN65" s="36">
        <v>0</v>
      </c>
      <c r="AO65" s="1">
        <v>0</v>
      </c>
    </row>
    <row r="66" spans="1:41" ht="32.1" customHeight="1" x14ac:dyDescent="0.15">
      <c r="A66" s="9" t="s">
        <v>14</v>
      </c>
      <c r="B66" s="10" t="s">
        <v>95</v>
      </c>
      <c r="C66" s="21">
        <f>24468.63/1.13</f>
        <v>21653.654867256639</v>
      </c>
      <c r="D66" s="21">
        <f>13140.9/1.13</f>
        <v>11629.115044247788</v>
      </c>
      <c r="E66" s="19">
        <f t="shared" si="17"/>
        <v>33282.769911504423</v>
      </c>
      <c r="F66" s="17">
        <f t="shared" si="23"/>
        <v>18200.54</v>
      </c>
      <c r="G66" s="17">
        <f t="shared" si="24"/>
        <v>29161.460000000003</v>
      </c>
      <c r="H66" s="17">
        <f t="shared" si="18"/>
        <v>3225.7907964601768</v>
      </c>
      <c r="I66" s="17">
        <f t="shared" si="19"/>
        <v>14845.089245309733</v>
      </c>
      <c r="J66" s="19">
        <f t="shared" si="20"/>
        <v>2348.3756998230087</v>
      </c>
      <c r="K66" s="19">
        <f t="shared" si="21"/>
        <v>101064.02565309734</v>
      </c>
      <c r="L66" s="9">
        <v>338.3</v>
      </c>
      <c r="M66" s="28">
        <f t="shared" si="25"/>
        <v>47362</v>
      </c>
      <c r="N66" s="28">
        <f t="shared" si="26"/>
        <v>80644.769911504423</v>
      </c>
      <c r="O66" s="2">
        <v>1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9">
        <v>1</v>
      </c>
      <c r="V66" s="9">
        <v>130</v>
      </c>
      <c r="W66" s="9">
        <v>82.42</v>
      </c>
      <c r="X66" s="9" t="s">
        <v>142</v>
      </c>
      <c r="Y66" s="9">
        <v>0.4</v>
      </c>
      <c r="Z66" s="1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9">
        <v>0</v>
      </c>
      <c r="AH66" s="4">
        <v>1</v>
      </c>
      <c r="AI66" s="16">
        <v>30</v>
      </c>
      <c r="AJ66" s="13">
        <v>10</v>
      </c>
      <c r="AK66" s="16">
        <v>96</v>
      </c>
      <c r="AL66" s="13">
        <v>6.5</v>
      </c>
      <c r="AM66" s="13">
        <v>7.2</v>
      </c>
      <c r="AN66" s="36">
        <v>0</v>
      </c>
      <c r="AO66" s="1">
        <v>0</v>
      </c>
    </row>
    <row r="67" spans="1:41" ht="32.1" customHeight="1" x14ac:dyDescent="0.15">
      <c r="A67" s="9" t="s">
        <v>14</v>
      </c>
      <c r="B67" s="10" t="s">
        <v>96</v>
      </c>
      <c r="C67" s="21">
        <f>20222.75/1.13</f>
        <v>17896.238938053099</v>
      </c>
      <c r="D67" s="21">
        <f>13300.9/1.13</f>
        <v>11770.70796460177</v>
      </c>
      <c r="E67" s="19">
        <f t="shared" si="17"/>
        <v>29666.946902654869</v>
      </c>
      <c r="F67" s="17">
        <f t="shared" si="23"/>
        <v>17431.2</v>
      </c>
      <c r="G67" s="17">
        <f t="shared" si="24"/>
        <v>27928.799999999999</v>
      </c>
      <c r="H67" s="17">
        <f t="shared" si="18"/>
        <v>3001.0778761061952</v>
      </c>
      <c r="I67" s="17">
        <f t="shared" si="19"/>
        <v>13810.960385840708</v>
      </c>
      <c r="J67" s="19">
        <f t="shared" si="20"/>
        <v>2184.7846938053099</v>
      </c>
      <c r="K67" s="19">
        <f t="shared" si="21"/>
        <v>94023.769858407089</v>
      </c>
      <c r="L67" s="9">
        <v>324</v>
      </c>
      <c r="M67" s="28">
        <f t="shared" si="25"/>
        <v>45360</v>
      </c>
      <c r="N67" s="28">
        <f t="shared" si="26"/>
        <v>75026.946902654876</v>
      </c>
      <c r="O67" s="2">
        <v>1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9">
        <v>1</v>
      </c>
      <c r="V67" s="9">
        <v>110</v>
      </c>
      <c r="W67" s="9">
        <v>82.42</v>
      </c>
      <c r="X67" s="9" t="s">
        <v>142</v>
      </c>
      <c r="Y67" s="9">
        <v>0.4</v>
      </c>
      <c r="Z67" s="1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9">
        <v>0</v>
      </c>
      <c r="AH67" s="4">
        <v>1</v>
      </c>
      <c r="AI67" s="16">
        <v>30</v>
      </c>
      <c r="AJ67" s="13">
        <v>10</v>
      </c>
      <c r="AK67" s="16">
        <v>96</v>
      </c>
      <c r="AL67" s="13">
        <v>6.5</v>
      </c>
      <c r="AM67" s="13">
        <v>7.2</v>
      </c>
      <c r="AN67" s="36">
        <v>0</v>
      </c>
      <c r="AO67" s="1">
        <v>0</v>
      </c>
    </row>
    <row r="68" spans="1:41" ht="32.1" customHeight="1" x14ac:dyDescent="0.15">
      <c r="A68" s="9" t="s">
        <v>14</v>
      </c>
      <c r="B68" s="10" t="s">
        <v>97</v>
      </c>
      <c r="C68" s="21">
        <f>19971.12/1.13</f>
        <v>17673.557522123894</v>
      </c>
      <c r="D68" s="21">
        <f>13300.9/1.13</f>
        <v>11770.70796460177</v>
      </c>
      <c r="E68" s="19">
        <f t="shared" si="17"/>
        <v>29444.265486725664</v>
      </c>
      <c r="F68" s="17">
        <f t="shared" si="23"/>
        <v>17431.2</v>
      </c>
      <c r="G68" s="17">
        <f t="shared" si="24"/>
        <v>27928.799999999999</v>
      </c>
      <c r="H68" s="17">
        <f t="shared" si="18"/>
        <v>2992.1706194690264</v>
      </c>
      <c r="I68" s="17">
        <f t="shared" si="19"/>
        <v>13769.969190796459</v>
      </c>
      <c r="J68" s="19">
        <f t="shared" si="20"/>
        <v>2178.3002109734512</v>
      </c>
      <c r="K68" s="19">
        <f t="shared" si="21"/>
        <v>93744.705507964594</v>
      </c>
      <c r="L68" s="9">
        <v>324</v>
      </c>
      <c r="M68" s="28">
        <f t="shared" si="25"/>
        <v>45360</v>
      </c>
      <c r="N68" s="28">
        <f t="shared" si="26"/>
        <v>74804.265486725664</v>
      </c>
      <c r="O68" s="2">
        <v>1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9">
        <v>1</v>
      </c>
      <c r="V68" s="9">
        <v>110</v>
      </c>
      <c r="W68" s="9">
        <v>82.42</v>
      </c>
      <c r="X68" s="9" t="s">
        <v>142</v>
      </c>
      <c r="Y68" s="9">
        <v>0.4</v>
      </c>
      <c r="Z68" s="1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9">
        <v>0</v>
      </c>
      <c r="AH68" s="4">
        <v>1</v>
      </c>
      <c r="AI68" s="16">
        <v>30</v>
      </c>
      <c r="AJ68" s="13">
        <v>10</v>
      </c>
      <c r="AK68" s="16">
        <v>96</v>
      </c>
      <c r="AL68" s="13">
        <v>6.5</v>
      </c>
      <c r="AM68" s="13">
        <v>7.2</v>
      </c>
      <c r="AN68" s="36">
        <v>0</v>
      </c>
      <c r="AO68" s="1">
        <v>0</v>
      </c>
    </row>
    <row r="69" spans="1:41" ht="32.1" customHeight="1" x14ac:dyDescent="0.15">
      <c r="A69" s="9" t="s">
        <v>14</v>
      </c>
      <c r="B69" s="10" t="s">
        <v>98</v>
      </c>
      <c r="C69" s="21">
        <f>19971.12/1.13</f>
        <v>17673.557522123894</v>
      </c>
      <c r="D69" s="21">
        <f>13300.9/1.13</f>
        <v>11770.70796460177</v>
      </c>
      <c r="E69" s="19">
        <f t="shared" si="17"/>
        <v>29444.265486725664</v>
      </c>
      <c r="F69" s="17">
        <f t="shared" si="23"/>
        <v>11109.162</v>
      </c>
      <c r="G69" s="17">
        <f t="shared" si="24"/>
        <v>17799.438000000002</v>
      </c>
      <c r="H69" s="17">
        <f t="shared" si="18"/>
        <v>2334.1146194690264</v>
      </c>
      <c r="I69" s="17">
        <f t="shared" si="19"/>
        <v>10741.59547879646</v>
      </c>
      <c r="J69" s="19">
        <f t="shared" si="20"/>
        <v>1699.2354429734514</v>
      </c>
      <c r="K69" s="19">
        <f t="shared" si="21"/>
        <v>73127.811027964606</v>
      </c>
      <c r="L69" s="9">
        <v>206.49</v>
      </c>
      <c r="M69" s="28">
        <f t="shared" si="25"/>
        <v>28908.600000000002</v>
      </c>
      <c r="N69" s="28">
        <f t="shared" si="26"/>
        <v>58352.865486725663</v>
      </c>
      <c r="O69" s="2">
        <v>1</v>
      </c>
      <c r="P69" s="2">
        <v>1</v>
      </c>
      <c r="Q69" s="2">
        <v>0</v>
      </c>
      <c r="R69" s="2">
        <v>0</v>
      </c>
      <c r="S69" s="2">
        <v>0</v>
      </c>
      <c r="T69" s="2">
        <v>0</v>
      </c>
      <c r="U69" s="9">
        <v>1</v>
      </c>
      <c r="V69" s="9">
        <v>110</v>
      </c>
      <c r="W69" s="9">
        <v>82.42</v>
      </c>
      <c r="X69" s="9" t="s">
        <v>142</v>
      </c>
      <c r="Y69" s="9">
        <v>0.4</v>
      </c>
      <c r="Z69" s="1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 s="9">
        <v>0</v>
      </c>
      <c r="AH69" s="4">
        <v>1</v>
      </c>
      <c r="AI69" s="16">
        <v>30</v>
      </c>
      <c r="AJ69" s="13">
        <v>10</v>
      </c>
      <c r="AK69" s="16">
        <v>96</v>
      </c>
      <c r="AL69" s="13">
        <v>6.5</v>
      </c>
      <c r="AM69" s="13">
        <v>7.2</v>
      </c>
      <c r="AN69" s="36">
        <v>0</v>
      </c>
      <c r="AO69" s="1">
        <v>0</v>
      </c>
    </row>
    <row r="70" spans="1:41" ht="32.1" customHeight="1" x14ac:dyDescent="0.15">
      <c r="A70" s="4" t="s">
        <v>12</v>
      </c>
      <c r="B70" s="10" t="s">
        <v>99</v>
      </c>
      <c r="C70" s="11">
        <f>E70-D70</f>
        <v>11945.45132743363</v>
      </c>
      <c r="D70" s="11">
        <f>188/1.13</f>
        <v>166.37168141592923</v>
      </c>
      <c r="E70" s="16">
        <f>13686.36/1.13</f>
        <v>12111.823008849558</v>
      </c>
      <c r="F70" s="17">
        <f t="shared" si="23"/>
        <v>26112.367999999999</v>
      </c>
      <c r="G70" s="17">
        <f t="shared" si="24"/>
        <v>41838.031999999999</v>
      </c>
      <c r="H70" s="17">
        <f t="shared" si="18"/>
        <v>3202.4889203539824</v>
      </c>
      <c r="I70" s="17">
        <f t="shared" si="19"/>
        <v>14737.854011469024</v>
      </c>
      <c r="J70" s="19">
        <f t="shared" si="20"/>
        <v>2331.411934017699</v>
      </c>
      <c r="K70" s="19">
        <f t="shared" si="21"/>
        <v>100333.97787469026</v>
      </c>
      <c r="L70" s="9">
        <v>485.36</v>
      </c>
      <c r="M70" s="28">
        <f t="shared" si="25"/>
        <v>67950.399999999994</v>
      </c>
      <c r="N70" s="28">
        <f t="shared" si="26"/>
        <v>80062.223008849556</v>
      </c>
      <c r="O70" s="2">
        <v>1</v>
      </c>
      <c r="P70" s="2">
        <v>1</v>
      </c>
      <c r="Q70" s="2">
        <v>0</v>
      </c>
      <c r="R70" s="2">
        <v>0</v>
      </c>
      <c r="S70" s="2">
        <v>0</v>
      </c>
      <c r="T70" s="2">
        <v>0</v>
      </c>
      <c r="U70" s="9">
        <v>2</v>
      </c>
      <c r="V70" s="9">
        <v>91</v>
      </c>
      <c r="W70" s="4">
        <v>101.19617</v>
      </c>
      <c r="X70" s="4" t="s">
        <v>140</v>
      </c>
      <c r="Y70" s="4">
        <f t="shared" ref="Y70:Y72" si="27">9/60</f>
        <v>0.15</v>
      </c>
      <c r="Z70" s="1">
        <v>0</v>
      </c>
      <c r="AA70">
        <v>260</v>
      </c>
      <c r="AB70">
        <v>1</v>
      </c>
      <c r="AC70">
        <v>0</v>
      </c>
      <c r="AD70">
        <v>0</v>
      </c>
      <c r="AE70">
        <v>0</v>
      </c>
      <c r="AF70">
        <v>0</v>
      </c>
      <c r="AG70" s="4">
        <v>1</v>
      </c>
      <c r="AH70" s="4">
        <v>1</v>
      </c>
      <c r="AI70" s="16">
        <v>30</v>
      </c>
      <c r="AJ70" s="16">
        <v>10</v>
      </c>
      <c r="AK70" s="38">
        <v>48</v>
      </c>
      <c r="AL70" s="16">
        <v>0</v>
      </c>
      <c r="AM70" s="16">
        <v>0</v>
      </c>
      <c r="AN70" s="36">
        <v>0</v>
      </c>
      <c r="AO70" s="1">
        <v>0</v>
      </c>
    </row>
    <row r="71" spans="1:41" ht="32.1" customHeight="1" x14ac:dyDescent="0.15">
      <c r="A71" s="4" t="s">
        <v>12</v>
      </c>
      <c r="B71" s="10" t="s">
        <v>100</v>
      </c>
      <c r="C71" s="11">
        <f>E71-D71</f>
        <v>9447.7610619469033</v>
      </c>
      <c r="D71" s="17">
        <f>183/1.13</f>
        <v>161.94690265486727</v>
      </c>
      <c r="E71" s="16">
        <f>10858.97/1.13</f>
        <v>9609.7079646017701</v>
      </c>
      <c r="F71" s="17">
        <f t="shared" si="23"/>
        <v>26694.484</v>
      </c>
      <c r="G71" s="17">
        <f t="shared" si="24"/>
        <v>42770.716</v>
      </c>
      <c r="H71" s="17">
        <f t="shared" ref="H71:H96" si="28">SUM(E71:G71)*0.04</f>
        <v>3162.9963185840707</v>
      </c>
      <c r="I71" s="17">
        <f t="shared" ref="I71:I96" si="29">SUM(E71:H71)*0.177</f>
        <v>14556.109058123893</v>
      </c>
      <c r="J71" s="19">
        <f t="shared" ref="J71:J100" si="30">SUM(E71:H71)*0.028</f>
        <v>2302.6613199292037</v>
      </c>
      <c r="K71" s="19">
        <f t="shared" ref="K71:K96" si="31">SUM(E71:J71)</f>
        <v>99096.67466123894</v>
      </c>
      <c r="L71" s="9">
        <v>496.18</v>
      </c>
      <c r="M71" s="28">
        <f t="shared" si="25"/>
        <v>69465.2</v>
      </c>
      <c r="N71" s="28">
        <f t="shared" si="26"/>
        <v>79074.907964601764</v>
      </c>
      <c r="O71" s="2">
        <v>1</v>
      </c>
      <c r="P71" s="2">
        <v>1</v>
      </c>
      <c r="Q71" s="2">
        <v>0</v>
      </c>
      <c r="R71" s="2">
        <v>0</v>
      </c>
      <c r="S71" s="2">
        <v>0</v>
      </c>
      <c r="T71" s="2">
        <v>0</v>
      </c>
      <c r="U71" s="9">
        <v>3</v>
      </c>
      <c r="V71" s="9">
        <v>75</v>
      </c>
      <c r="W71" s="4">
        <v>101.19617</v>
      </c>
      <c r="X71" s="4" t="s">
        <v>140</v>
      </c>
      <c r="Y71" s="4">
        <f t="shared" si="27"/>
        <v>0.15</v>
      </c>
      <c r="Z71" s="1">
        <v>0</v>
      </c>
      <c r="AA71">
        <v>260</v>
      </c>
      <c r="AB71">
        <v>1</v>
      </c>
      <c r="AC71">
        <v>0</v>
      </c>
      <c r="AD71">
        <v>0</v>
      </c>
      <c r="AE71">
        <v>0</v>
      </c>
      <c r="AF71">
        <v>0</v>
      </c>
      <c r="AG71" s="4">
        <v>1</v>
      </c>
      <c r="AH71" s="4">
        <v>1</v>
      </c>
      <c r="AI71" s="16">
        <v>30</v>
      </c>
      <c r="AJ71" s="16">
        <v>11</v>
      </c>
      <c r="AK71" s="38">
        <v>48</v>
      </c>
      <c r="AL71" s="16">
        <v>0</v>
      </c>
      <c r="AM71" s="16">
        <v>0</v>
      </c>
      <c r="AN71" s="36">
        <v>0</v>
      </c>
      <c r="AO71" s="1">
        <v>0</v>
      </c>
    </row>
    <row r="72" spans="1:41" ht="32.1" customHeight="1" x14ac:dyDescent="0.15">
      <c r="A72" s="12" t="s">
        <v>12</v>
      </c>
      <c r="B72" s="10" t="s">
        <v>24</v>
      </c>
      <c r="C72" s="11">
        <f>E72-D72</f>
        <v>8253.8672566371679</v>
      </c>
      <c r="D72" s="22">
        <f>22580.4/1.13</f>
        <v>19982.654867256639</v>
      </c>
      <c r="E72" s="16">
        <f>31907.27/1.13</f>
        <v>28236.522123893807</v>
      </c>
      <c r="F72" s="17">
        <f t="shared" si="23"/>
        <v>35836.18</v>
      </c>
      <c r="G72" s="17">
        <f t="shared" si="24"/>
        <v>57417.820000000007</v>
      </c>
      <c r="H72" s="17">
        <f t="shared" si="28"/>
        <v>4859.6208849557524</v>
      </c>
      <c r="I72" s="17">
        <f t="shared" si="29"/>
        <v>22363.975312566374</v>
      </c>
      <c r="J72" s="19">
        <f t="shared" si="30"/>
        <v>3537.8040042477878</v>
      </c>
      <c r="K72" s="19">
        <f t="shared" si="31"/>
        <v>152251.92232566373</v>
      </c>
      <c r="L72" s="9">
        <v>666.1</v>
      </c>
      <c r="M72" s="28">
        <f t="shared" si="25"/>
        <v>93254</v>
      </c>
      <c r="N72" s="28">
        <f t="shared" si="26"/>
        <v>121490.52212389381</v>
      </c>
      <c r="O72" s="2">
        <v>1</v>
      </c>
      <c r="P72" s="2">
        <v>1</v>
      </c>
      <c r="Q72" s="2">
        <v>1</v>
      </c>
      <c r="R72" s="2">
        <v>0</v>
      </c>
      <c r="S72" s="2">
        <v>0</v>
      </c>
      <c r="T72" s="2">
        <v>0</v>
      </c>
      <c r="U72" s="32">
        <v>4</v>
      </c>
      <c r="V72" s="32">
        <v>66</v>
      </c>
      <c r="W72" s="12">
        <v>101.19617</v>
      </c>
      <c r="X72" s="12" t="s">
        <v>140</v>
      </c>
      <c r="Y72" s="4">
        <f t="shared" si="27"/>
        <v>0.15</v>
      </c>
      <c r="Z72" s="1">
        <v>1</v>
      </c>
      <c r="AA72">
        <v>260</v>
      </c>
      <c r="AB72">
        <v>1</v>
      </c>
      <c r="AC72">
        <v>0</v>
      </c>
      <c r="AD72">
        <v>0</v>
      </c>
      <c r="AE72">
        <v>0</v>
      </c>
      <c r="AF72">
        <v>0</v>
      </c>
      <c r="AG72" s="4">
        <v>1</v>
      </c>
      <c r="AH72" s="4">
        <v>1</v>
      </c>
      <c r="AI72" s="16">
        <v>30</v>
      </c>
      <c r="AJ72" s="40">
        <v>12</v>
      </c>
      <c r="AK72" s="38">
        <v>48</v>
      </c>
      <c r="AL72" s="16">
        <v>0</v>
      </c>
      <c r="AM72" s="16">
        <v>0</v>
      </c>
      <c r="AN72" s="36">
        <v>0</v>
      </c>
      <c r="AO72" s="1">
        <v>0</v>
      </c>
    </row>
    <row r="73" spans="1:41" ht="32.1" customHeight="1" x14ac:dyDescent="0.15">
      <c r="A73" s="4" t="s">
        <v>12</v>
      </c>
      <c r="B73" s="10" t="s">
        <v>101</v>
      </c>
      <c r="C73" s="17">
        <f>13718/2</f>
        <v>6859</v>
      </c>
      <c r="D73" s="17">
        <f>1013.1/2</f>
        <v>506.55</v>
      </c>
      <c r="E73" s="26">
        <f>D73+C73</f>
        <v>7365.55</v>
      </c>
      <c r="F73" s="17">
        <f t="shared" si="23"/>
        <v>21597.471999999998</v>
      </c>
      <c r="G73" s="17">
        <f t="shared" si="24"/>
        <v>34604.128000000004</v>
      </c>
      <c r="H73" s="17">
        <f t="shared" si="28"/>
        <v>2542.6860000000001</v>
      </c>
      <c r="I73" s="17">
        <f t="shared" si="29"/>
        <v>11701.440971999999</v>
      </c>
      <c r="J73" s="19">
        <f t="shared" si="30"/>
        <v>1851.0754079999999</v>
      </c>
      <c r="K73" s="19">
        <f t="shared" si="31"/>
        <v>79662.352379999997</v>
      </c>
      <c r="L73" s="9">
        <v>401.44</v>
      </c>
      <c r="M73" s="28">
        <f t="shared" si="25"/>
        <v>56201.600000000006</v>
      </c>
      <c r="N73" s="28">
        <f t="shared" si="26"/>
        <v>63567.15</v>
      </c>
      <c r="O73" s="2">
        <v>1</v>
      </c>
      <c r="P73" s="2">
        <v>1</v>
      </c>
      <c r="Q73" s="2">
        <v>0</v>
      </c>
      <c r="R73" s="2">
        <v>0</v>
      </c>
      <c r="S73" s="2">
        <v>0</v>
      </c>
      <c r="T73" s="2">
        <v>0</v>
      </c>
      <c r="U73" s="9">
        <v>1</v>
      </c>
      <c r="V73" s="9">
        <v>75</v>
      </c>
      <c r="W73" s="4">
        <v>150.70445000000001</v>
      </c>
      <c r="X73" s="4" t="s">
        <v>143</v>
      </c>
      <c r="Y73" s="4">
        <f>12/60</f>
        <v>0.2</v>
      </c>
      <c r="Z73" s="1">
        <v>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 s="4">
        <v>1</v>
      </c>
      <c r="AH73" s="9">
        <v>0</v>
      </c>
      <c r="AI73" s="16">
        <v>30</v>
      </c>
      <c r="AJ73" s="16">
        <v>15</v>
      </c>
      <c r="AK73" s="37">
        <v>240</v>
      </c>
      <c r="AL73" s="16">
        <v>0</v>
      </c>
      <c r="AM73" s="16">
        <v>0</v>
      </c>
      <c r="AN73" s="36">
        <v>0</v>
      </c>
      <c r="AO73" s="9">
        <v>1</v>
      </c>
    </row>
    <row r="74" spans="1:41" ht="32.1" customHeight="1" x14ac:dyDescent="0.15">
      <c r="A74" s="4" t="s">
        <v>12</v>
      </c>
      <c r="B74" s="10" t="s">
        <v>102</v>
      </c>
      <c r="C74" s="17">
        <f>14908/2</f>
        <v>7454</v>
      </c>
      <c r="D74" s="17">
        <f>1128/2</f>
        <v>564</v>
      </c>
      <c r="E74" s="26">
        <f>D74+C74</f>
        <v>8018</v>
      </c>
      <c r="F74" s="17">
        <f t="shared" si="23"/>
        <v>30678.374</v>
      </c>
      <c r="G74" s="17">
        <f t="shared" si="24"/>
        <v>49153.826000000001</v>
      </c>
      <c r="H74" s="17">
        <f t="shared" si="28"/>
        <v>3514.0079999999998</v>
      </c>
      <c r="I74" s="17">
        <f t="shared" si="29"/>
        <v>16171.464816</v>
      </c>
      <c r="J74" s="19">
        <f t="shared" si="30"/>
        <v>2558.1978239999999</v>
      </c>
      <c r="K74" s="19">
        <f t="shared" si="31"/>
        <v>110093.87064000001</v>
      </c>
      <c r="L74" s="9">
        <v>570.23</v>
      </c>
      <c r="M74" s="28">
        <f t="shared" si="25"/>
        <v>79832.2</v>
      </c>
      <c r="N74" s="28">
        <f t="shared" si="26"/>
        <v>87850.2</v>
      </c>
      <c r="O74" s="2">
        <v>1</v>
      </c>
      <c r="P74" s="2">
        <v>1</v>
      </c>
      <c r="Q74" s="2">
        <v>0</v>
      </c>
      <c r="R74" s="2">
        <v>0</v>
      </c>
      <c r="S74" s="2">
        <v>0</v>
      </c>
      <c r="T74" s="2">
        <v>0</v>
      </c>
      <c r="U74" s="9">
        <v>1</v>
      </c>
      <c r="V74" s="9">
        <v>75</v>
      </c>
      <c r="W74" s="4">
        <v>150.70445000000001</v>
      </c>
      <c r="X74" s="4" t="s">
        <v>143</v>
      </c>
      <c r="Y74" s="4">
        <f t="shared" ref="Y74:Y75" si="32">12/60</f>
        <v>0.2</v>
      </c>
      <c r="Z74" s="1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 s="4">
        <v>1</v>
      </c>
      <c r="AH74" s="9">
        <v>0</v>
      </c>
      <c r="AI74" s="16">
        <v>30</v>
      </c>
      <c r="AJ74" s="16">
        <v>15</v>
      </c>
      <c r="AK74" s="37">
        <v>240</v>
      </c>
      <c r="AL74" s="16">
        <v>0</v>
      </c>
      <c r="AM74" s="16">
        <v>0</v>
      </c>
      <c r="AN74" s="36">
        <v>0</v>
      </c>
      <c r="AO74" s="9">
        <v>1</v>
      </c>
    </row>
    <row r="75" spans="1:41" ht="32.1" customHeight="1" x14ac:dyDescent="0.15">
      <c r="A75" s="4" t="s">
        <v>12</v>
      </c>
      <c r="B75" s="10" t="s">
        <v>103</v>
      </c>
      <c r="C75" s="17">
        <f>26311/2</f>
        <v>13155.5</v>
      </c>
      <c r="D75" s="17">
        <f>37388/2</f>
        <v>18694</v>
      </c>
      <c r="E75" s="26">
        <f>D75+C75</f>
        <v>31849.5</v>
      </c>
      <c r="F75" s="17">
        <f t="shared" si="23"/>
        <v>39816.304000000004</v>
      </c>
      <c r="G75" s="17">
        <f t="shared" si="24"/>
        <v>63794.896000000008</v>
      </c>
      <c r="H75" s="17">
        <f t="shared" si="28"/>
        <v>5418.4280000000008</v>
      </c>
      <c r="I75" s="17">
        <f t="shared" si="29"/>
        <v>24935.605656000003</v>
      </c>
      <c r="J75" s="19">
        <f t="shared" si="30"/>
        <v>3944.615584000001</v>
      </c>
      <c r="K75" s="19">
        <f t="shared" si="31"/>
        <v>169759.34924000004</v>
      </c>
      <c r="L75" s="9">
        <v>740.08</v>
      </c>
      <c r="M75" s="28">
        <f t="shared" si="25"/>
        <v>103611.20000000001</v>
      </c>
      <c r="N75" s="28">
        <f t="shared" si="26"/>
        <v>135460.70000000001</v>
      </c>
      <c r="O75" s="2">
        <v>1</v>
      </c>
      <c r="P75" s="2">
        <v>1</v>
      </c>
      <c r="Q75" s="2">
        <v>1</v>
      </c>
      <c r="R75" s="2">
        <v>0</v>
      </c>
      <c r="S75" s="2">
        <v>0</v>
      </c>
      <c r="T75" s="2">
        <v>0</v>
      </c>
      <c r="U75" s="9">
        <v>2</v>
      </c>
      <c r="V75" s="9">
        <v>75</v>
      </c>
      <c r="W75" s="4">
        <v>150.70445000000001</v>
      </c>
      <c r="X75" s="4" t="s">
        <v>143</v>
      </c>
      <c r="Y75" s="4">
        <f t="shared" si="32"/>
        <v>0.2</v>
      </c>
      <c r="Z75" s="1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 s="4">
        <v>1</v>
      </c>
      <c r="AH75" s="9">
        <v>0</v>
      </c>
      <c r="AI75" s="16">
        <v>30</v>
      </c>
      <c r="AJ75" s="16">
        <v>15</v>
      </c>
      <c r="AK75" s="37">
        <v>240</v>
      </c>
      <c r="AL75" s="16">
        <v>0</v>
      </c>
      <c r="AM75" s="16">
        <v>0</v>
      </c>
      <c r="AN75" s="36">
        <v>0</v>
      </c>
      <c r="AO75" s="9">
        <v>1</v>
      </c>
    </row>
    <row r="76" spans="1:41" ht="32.1" customHeight="1" x14ac:dyDescent="0.15">
      <c r="A76" s="4" t="s">
        <v>12</v>
      </c>
      <c r="B76" s="10" t="s">
        <v>104</v>
      </c>
      <c r="C76" s="17">
        <f>13729.04/1.13</f>
        <v>12149.592920353984</v>
      </c>
      <c r="D76" s="17">
        <f>565/1.13</f>
        <v>500.00000000000006</v>
      </c>
      <c r="E76" s="19">
        <f t="shared" ref="E76:E83" si="33">C76+D76</f>
        <v>12649.592920353984</v>
      </c>
      <c r="F76" s="17">
        <f t="shared" si="23"/>
        <v>14803.069999999998</v>
      </c>
      <c r="G76" s="17">
        <f t="shared" si="24"/>
        <v>23717.93</v>
      </c>
      <c r="H76" s="17">
        <f t="shared" si="28"/>
        <v>2046.8237168141595</v>
      </c>
      <c r="I76" s="17">
        <f t="shared" si="29"/>
        <v>9419.4827447787611</v>
      </c>
      <c r="J76" s="19">
        <f t="shared" si="30"/>
        <v>1490.087665840708</v>
      </c>
      <c r="K76" s="19">
        <f t="shared" si="31"/>
        <v>64126.98704778761</v>
      </c>
      <c r="L76" s="9">
        <v>275.14999999999998</v>
      </c>
      <c r="M76" s="28">
        <f t="shared" si="25"/>
        <v>38521</v>
      </c>
      <c r="N76" s="28">
        <f t="shared" si="26"/>
        <v>51170.592920353985</v>
      </c>
      <c r="O76" s="2">
        <v>1</v>
      </c>
      <c r="P76" s="2">
        <v>1</v>
      </c>
      <c r="Q76" s="2">
        <v>0</v>
      </c>
      <c r="R76" s="2">
        <v>0</v>
      </c>
      <c r="S76" s="2">
        <v>0</v>
      </c>
      <c r="T76" s="2">
        <v>0</v>
      </c>
      <c r="U76" s="9">
        <v>1</v>
      </c>
      <c r="V76" s="9">
        <v>91</v>
      </c>
      <c r="W76" s="4">
        <v>150.70445000000001</v>
      </c>
      <c r="X76" s="4" t="s">
        <v>140</v>
      </c>
      <c r="Y76" s="4">
        <f t="shared" ref="Y76:Y81" si="34">9/60</f>
        <v>0.15</v>
      </c>
      <c r="Z76" s="1">
        <v>1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s="4">
        <v>1</v>
      </c>
      <c r="AH76" s="4">
        <v>1</v>
      </c>
      <c r="AI76" s="16">
        <v>30</v>
      </c>
      <c r="AJ76" s="16">
        <v>10</v>
      </c>
      <c r="AK76" s="16">
        <v>96</v>
      </c>
      <c r="AL76" s="16">
        <v>0</v>
      </c>
      <c r="AM76" s="16">
        <v>0</v>
      </c>
      <c r="AN76" s="35">
        <v>1</v>
      </c>
      <c r="AO76" s="1">
        <v>0</v>
      </c>
    </row>
    <row r="77" spans="1:41" ht="32.1" customHeight="1" x14ac:dyDescent="0.15">
      <c r="A77" s="4" t="s">
        <v>12</v>
      </c>
      <c r="B77" s="10" t="s">
        <v>105</v>
      </c>
      <c r="C77" s="17">
        <f>24853.94/1.13</f>
        <v>21994.637168141595</v>
      </c>
      <c r="D77" s="17">
        <f>1871/1.13</f>
        <v>1655.7522123893807</v>
      </c>
      <c r="E77" s="19">
        <f t="shared" si="33"/>
        <v>23650.389380530974</v>
      </c>
      <c r="F77" s="17">
        <f t="shared" si="23"/>
        <v>29164.441999999999</v>
      </c>
      <c r="G77" s="17">
        <f t="shared" si="24"/>
        <v>46728.158000000003</v>
      </c>
      <c r="H77" s="17">
        <f t="shared" si="28"/>
        <v>3981.7195752212397</v>
      </c>
      <c r="I77" s="17">
        <f t="shared" si="29"/>
        <v>18323.873485168144</v>
      </c>
      <c r="J77" s="19">
        <f t="shared" si="30"/>
        <v>2898.6918507610626</v>
      </c>
      <c r="K77" s="19">
        <f t="shared" si="31"/>
        <v>124747.27429168145</v>
      </c>
      <c r="L77" s="9">
        <v>542.09</v>
      </c>
      <c r="M77" s="28">
        <f t="shared" si="25"/>
        <v>75892.600000000006</v>
      </c>
      <c r="N77" s="28">
        <f t="shared" si="26"/>
        <v>99542.989380530984</v>
      </c>
      <c r="O77" s="2">
        <v>1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9">
        <v>2</v>
      </c>
      <c r="V77" s="9">
        <v>91</v>
      </c>
      <c r="W77" s="4">
        <v>150.70445000000001</v>
      </c>
      <c r="X77" s="4" t="s">
        <v>140</v>
      </c>
      <c r="Y77" s="4">
        <f t="shared" si="34"/>
        <v>0.15</v>
      </c>
      <c r="Z77" s="1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 s="4">
        <v>1</v>
      </c>
      <c r="AH77" s="4">
        <v>1</v>
      </c>
      <c r="AI77" s="16">
        <v>30</v>
      </c>
      <c r="AJ77" s="16">
        <v>10</v>
      </c>
      <c r="AK77" s="16">
        <v>96</v>
      </c>
      <c r="AL77" s="16">
        <v>0</v>
      </c>
      <c r="AM77" s="16">
        <v>0</v>
      </c>
      <c r="AN77" s="35">
        <v>1</v>
      </c>
      <c r="AO77" s="1">
        <v>0</v>
      </c>
    </row>
    <row r="78" spans="1:41" ht="32.1" customHeight="1" x14ac:dyDescent="0.15">
      <c r="A78" s="4" t="s">
        <v>12</v>
      </c>
      <c r="B78" s="10" t="s">
        <v>106</v>
      </c>
      <c r="C78" s="17">
        <f>24003.41/1.13</f>
        <v>21241.955752212391</v>
      </c>
      <c r="D78" s="17">
        <f>27207.52/1.13</f>
        <v>24077.451327433631</v>
      </c>
      <c r="E78" s="19">
        <f t="shared" si="33"/>
        <v>45319.407079646022</v>
      </c>
      <c r="F78" s="17">
        <f t="shared" si="23"/>
        <v>28200.883999999995</v>
      </c>
      <c r="G78" s="17">
        <f t="shared" si="24"/>
        <v>45184.315999999999</v>
      </c>
      <c r="H78" s="17">
        <f t="shared" si="28"/>
        <v>4748.1842831858412</v>
      </c>
      <c r="I78" s="17">
        <f t="shared" si="29"/>
        <v>21851.144071221239</v>
      </c>
      <c r="J78" s="19">
        <f t="shared" si="30"/>
        <v>3456.6781581592923</v>
      </c>
      <c r="K78" s="19">
        <f t="shared" si="31"/>
        <v>148760.61359221238</v>
      </c>
      <c r="L78" s="9">
        <v>524.17999999999995</v>
      </c>
      <c r="M78" s="28">
        <f t="shared" si="25"/>
        <v>73385.2</v>
      </c>
      <c r="N78" s="28">
        <f t="shared" si="26"/>
        <v>118704.60707964603</v>
      </c>
      <c r="O78" s="2">
        <v>1</v>
      </c>
      <c r="P78" s="2">
        <v>1</v>
      </c>
      <c r="Q78" s="2">
        <v>1</v>
      </c>
      <c r="R78" s="2">
        <v>0</v>
      </c>
      <c r="S78" s="2">
        <v>0</v>
      </c>
      <c r="T78" s="2">
        <v>0</v>
      </c>
      <c r="U78" s="9">
        <v>2</v>
      </c>
      <c r="V78" s="9">
        <v>91</v>
      </c>
      <c r="W78" s="4">
        <v>150.70445000000001</v>
      </c>
      <c r="X78" s="4" t="s">
        <v>140</v>
      </c>
      <c r="Y78" s="4">
        <f t="shared" si="34"/>
        <v>0.15</v>
      </c>
      <c r="Z78" s="1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 s="4">
        <v>1</v>
      </c>
      <c r="AH78" s="4">
        <v>1</v>
      </c>
      <c r="AI78" s="16">
        <v>30</v>
      </c>
      <c r="AJ78" s="16">
        <v>10</v>
      </c>
      <c r="AK78" s="16">
        <v>96</v>
      </c>
      <c r="AL78" s="16">
        <v>0</v>
      </c>
      <c r="AM78" s="16">
        <v>0</v>
      </c>
      <c r="AN78" s="35">
        <v>1</v>
      </c>
      <c r="AO78" s="1">
        <v>0</v>
      </c>
    </row>
    <row r="79" spans="1:41" ht="32.1" customHeight="1" x14ac:dyDescent="0.15">
      <c r="A79" s="4" t="s">
        <v>12</v>
      </c>
      <c r="B79" s="10" t="s">
        <v>107</v>
      </c>
      <c r="C79" s="17">
        <f>13456.31/1.13</f>
        <v>11908.238938053099</v>
      </c>
      <c r="D79" s="17">
        <f>737/1.13</f>
        <v>652.21238938053102</v>
      </c>
      <c r="E79" s="19">
        <f t="shared" si="33"/>
        <v>12560.45132743363</v>
      </c>
      <c r="F79" s="17">
        <f t="shared" si="23"/>
        <v>13440.853999999999</v>
      </c>
      <c r="G79" s="17">
        <f t="shared" si="24"/>
        <v>21535.346000000001</v>
      </c>
      <c r="H79" s="17">
        <f t="shared" si="28"/>
        <v>1901.4660530973454</v>
      </c>
      <c r="I79" s="17">
        <f t="shared" si="29"/>
        <v>8750.5467763539837</v>
      </c>
      <c r="J79" s="19">
        <f t="shared" si="30"/>
        <v>1384.2672866548676</v>
      </c>
      <c r="K79" s="19">
        <f t="shared" si="31"/>
        <v>59572.931443539834</v>
      </c>
      <c r="L79" s="9">
        <v>249.83</v>
      </c>
      <c r="M79" s="28">
        <f t="shared" si="25"/>
        <v>34976.199999999997</v>
      </c>
      <c r="N79" s="28">
        <f t="shared" si="26"/>
        <v>47536.651327433632</v>
      </c>
      <c r="O79" s="2">
        <v>1</v>
      </c>
      <c r="P79" s="2">
        <v>1</v>
      </c>
      <c r="Q79" s="2">
        <v>0</v>
      </c>
      <c r="R79" s="2">
        <v>0</v>
      </c>
      <c r="S79" s="2">
        <v>0</v>
      </c>
      <c r="T79" s="2">
        <v>0</v>
      </c>
      <c r="U79" s="9">
        <v>1</v>
      </c>
      <c r="V79" s="9">
        <v>91</v>
      </c>
      <c r="W79" s="4">
        <v>150.70445000000001</v>
      </c>
      <c r="X79" s="4" t="s">
        <v>140</v>
      </c>
      <c r="Y79" s="4">
        <f t="shared" si="34"/>
        <v>0.15</v>
      </c>
      <c r="Z79" s="1">
        <v>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 s="4">
        <v>1</v>
      </c>
      <c r="AH79" s="4">
        <v>1</v>
      </c>
      <c r="AI79" s="16">
        <v>30</v>
      </c>
      <c r="AJ79" s="16">
        <v>10</v>
      </c>
      <c r="AK79" s="16">
        <v>96</v>
      </c>
      <c r="AL79" s="16">
        <v>0</v>
      </c>
      <c r="AM79" s="16">
        <v>0</v>
      </c>
      <c r="AN79" s="35">
        <v>1</v>
      </c>
      <c r="AO79" s="1">
        <v>0</v>
      </c>
    </row>
    <row r="80" spans="1:41" ht="32.1" customHeight="1" x14ac:dyDescent="0.15">
      <c r="A80" s="4" t="s">
        <v>12</v>
      </c>
      <c r="B80" s="10" t="s">
        <v>108</v>
      </c>
      <c r="C80" s="17">
        <f>24566.24/1.13</f>
        <v>21740.035398230091</v>
      </c>
      <c r="D80" s="17">
        <f>737/1.13</f>
        <v>652.21238938053102</v>
      </c>
      <c r="E80" s="19">
        <f t="shared" si="33"/>
        <v>22392.24778761062</v>
      </c>
      <c r="F80" s="17">
        <f t="shared" si="23"/>
        <v>22530.901999999998</v>
      </c>
      <c r="G80" s="17">
        <f t="shared" si="24"/>
        <v>36099.698000000004</v>
      </c>
      <c r="H80" s="17">
        <f t="shared" si="28"/>
        <v>3240.913911504425</v>
      </c>
      <c r="I80" s="17">
        <f t="shared" si="29"/>
        <v>14914.685820743362</v>
      </c>
      <c r="J80" s="19">
        <f t="shared" si="30"/>
        <v>2359.3853275752213</v>
      </c>
      <c r="K80" s="19">
        <f t="shared" si="31"/>
        <v>101537.83284743362</v>
      </c>
      <c r="L80" s="9">
        <v>418.79</v>
      </c>
      <c r="M80" s="28">
        <f t="shared" si="25"/>
        <v>58630.600000000006</v>
      </c>
      <c r="N80" s="28">
        <f t="shared" si="26"/>
        <v>81022.847787610619</v>
      </c>
      <c r="O80" s="2">
        <v>1</v>
      </c>
      <c r="P80" s="2">
        <v>1</v>
      </c>
      <c r="Q80" s="2">
        <v>0</v>
      </c>
      <c r="R80" s="2">
        <v>0</v>
      </c>
      <c r="S80" s="2">
        <v>0</v>
      </c>
      <c r="T80" s="2">
        <v>0</v>
      </c>
      <c r="U80" s="9">
        <v>2</v>
      </c>
      <c r="V80" s="9">
        <v>91</v>
      </c>
      <c r="W80" s="4">
        <v>150.70445000000001</v>
      </c>
      <c r="X80" s="4" t="s">
        <v>140</v>
      </c>
      <c r="Y80" s="4">
        <f t="shared" si="34"/>
        <v>0.15</v>
      </c>
      <c r="Z80" s="1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s="4">
        <v>1</v>
      </c>
      <c r="AH80" s="4">
        <v>1</v>
      </c>
      <c r="AI80" s="16">
        <v>30</v>
      </c>
      <c r="AJ80" s="16">
        <v>10</v>
      </c>
      <c r="AK80" s="16">
        <v>96</v>
      </c>
      <c r="AL80" s="16">
        <v>0</v>
      </c>
      <c r="AM80" s="16">
        <v>0</v>
      </c>
      <c r="AN80" s="35">
        <v>1</v>
      </c>
      <c r="AO80" s="1">
        <v>0</v>
      </c>
    </row>
    <row r="81" spans="1:41" ht="32.1" customHeight="1" x14ac:dyDescent="0.15">
      <c r="A81" s="4" t="s">
        <v>12</v>
      </c>
      <c r="B81" s="10" t="s">
        <v>109</v>
      </c>
      <c r="C81" s="17">
        <f>23456.36/1.13</f>
        <v>20757.840707964606</v>
      </c>
      <c r="D81" s="17">
        <f>25383.82/1.13</f>
        <v>22463.557522123894</v>
      </c>
      <c r="E81" s="19">
        <f t="shared" si="33"/>
        <v>43221.398230088496</v>
      </c>
      <c r="F81" s="17">
        <f t="shared" si="23"/>
        <v>25047.665999999997</v>
      </c>
      <c r="G81" s="17">
        <f t="shared" si="24"/>
        <v>40132.133999999998</v>
      </c>
      <c r="H81" s="17">
        <f t="shared" si="28"/>
        <v>4336.0479292035398</v>
      </c>
      <c r="I81" s="17">
        <f t="shared" si="29"/>
        <v>19954.492570194689</v>
      </c>
      <c r="J81" s="19">
        <f t="shared" si="30"/>
        <v>3156.6428924601769</v>
      </c>
      <c r="K81" s="19">
        <f t="shared" si="31"/>
        <v>135848.38162194687</v>
      </c>
      <c r="L81" s="9">
        <v>465.57</v>
      </c>
      <c r="M81" s="28">
        <f t="shared" si="25"/>
        <v>65179.799999999996</v>
      </c>
      <c r="N81" s="28">
        <f t="shared" si="26"/>
        <v>108401.19823008848</v>
      </c>
      <c r="O81" s="2">
        <v>1</v>
      </c>
      <c r="P81" s="2">
        <v>1</v>
      </c>
      <c r="Q81" s="2">
        <v>1</v>
      </c>
      <c r="R81" s="2">
        <v>0</v>
      </c>
      <c r="S81" s="2">
        <v>0</v>
      </c>
      <c r="T81" s="2">
        <v>0</v>
      </c>
      <c r="U81" s="9">
        <v>2</v>
      </c>
      <c r="V81" s="9">
        <v>91</v>
      </c>
      <c r="W81" s="4">
        <v>150.70445000000001</v>
      </c>
      <c r="X81" s="4" t="s">
        <v>140</v>
      </c>
      <c r="Y81" s="4">
        <f t="shared" si="34"/>
        <v>0.15</v>
      </c>
      <c r="Z81" s="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 s="4">
        <v>1</v>
      </c>
      <c r="AH81" s="4">
        <v>1</v>
      </c>
      <c r="AI81" s="16">
        <v>30</v>
      </c>
      <c r="AJ81" s="16">
        <v>10</v>
      </c>
      <c r="AK81" s="16">
        <v>96</v>
      </c>
      <c r="AL81" s="16">
        <v>0</v>
      </c>
      <c r="AM81" s="16">
        <v>0</v>
      </c>
      <c r="AN81" s="35">
        <v>1</v>
      </c>
      <c r="AO81" s="1">
        <v>0</v>
      </c>
    </row>
    <row r="82" spans="1:41" ht="32.1" customHeight="1" x14ac:dyDescent="0.15">
      <c r="A82" s="4" t="s">
        <v>15</v>
      </c>
      <c r="B82" s="10" t="s">
        <v>147</v>
      </c>
      <c r="C82" s="17">
        <v>7115.51</v>
      </c>
      <c r="D82" s="17">
        <v>39739.07</v>
      </c>
      <c r="E82" s="19">
        <f t="shared" si="33"/>
        <v>46854.58</v>
      </c>
      <c r="F82" s="17">
        <f t="shared" si="23"/>
        <v>7114.5119999999997</v>
      </c>
      <c r="G82" s="17">
        <f t="shared" si="24"/>
        <v>11399.088000000002</v>
      </c>
      <c r="H82" s="17">
        <f t="shared" si="28"/>
        <v>2614.7272000000003</v>
      </c>
      <c r="I82" s="17">
        <f t="shared" si="29"/>
        <v>12032.974574399999</v>
      </c>
      <c r="J82" s="19">
        <f t="shared" si="30"/>
        <v>1903.5214016</v>
      </c>
      <c r="K82" s="19">
        <f t="shared" si="31"/>
        <v>81919.403175999993</v>
      </c>
      <c r="L82" s="9">
        <v>132.24</v>
      </c>
      <c r="M82" s="28">
        <f t="shared" si="25"/>
        <v>18513.600000000002</v>
      </c>
      <c r="N82" s="28">
        <f t="shared" si="26"/>
        <v>65368.180000000008</v>
      </c>
      <c r="O82" s="2">
        <v>1</v>
      </c>
      <c r="P82" s="2">
        <v>0</v>
      </c>
      <c r="Q82" s="2">
        <v>1</v>
      </c>
      <c r="R82" s="2">
        <v>1</v>
      </c>
      <c r="S82" s="2">
        <v>0</v>
      </c>
      <c r="T82" s="2">
        <v>0</v>
      </c>
      <c r="U82" s="9">
        <v>1</v>
      </c>
      <c r="V82" s="9">
        <v>75</v>
      </c>
      <c r="W82" s="4">
        <v>150.70445000000001</v>
      </c>
      <c r="X82" s="4" t="s">
        <v>144</v>
      </c>
      <c r="Y82" s="4">
        <f>15/60</f>
        <v>0.25</v>
      </c>
      <c r="Z82" s="1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 s="9">
        <v>0</v>
      </c>
      <c r="AH82" s="9">
        <v>0</v>
      </c>
      <c r="AI82" s="16">
        <v>30</v>
      </c>
      <c r="AJ82" s="16">
        <v>15</v>
      </c>
      <c r="AK82" s="16"/>
      <c r="AL82" s="16">
        <f>3.5-0.5</f>
        <v>3</v>
      </c>
      <c r="AM82" s="16">
        <f>3.5+0.5</f>
        <v>4</v>
      </c>
      <c r="AN82" s="36">
        <v>0</v>
      </c>
      <c r="AO82" s="1">
        <v>0</v>
      </c>
    </row>
    <row r="83" spans="1:41" ht="32.1" customHeight="1" x14ac:dyDescent="0.15">
      <c r="A83" s="4" t="s">
        <v>15</v>
      </c>
      <c r="B83" s="10" t="s">
        <v>148</v>
      </c>
      <c r="C83" s="17">
        <v>18020.48</v>
      </c>
      <c r="D83" s="17">
        <v>3912</v>
      </c>
      <c r="E83" s="19">
        <f t="shared" si="33"/>
        <v>21932.48</v>
      </c>
      <c r="F83" s="17">
        <f t="shared" si="23"/>
        <v>5898.6319999999996</v>
      </c>
      <c r="G83" s="17">
        <f t="shared" si="24"/>
        <v>9450.9680000000008</v>
      </c>
      <c r="H83" s="17">
        <f t="shared" si="28"/>
        <v>1491.2832000000001</v>
      </c>
      <c r="I83" s="17">
        <f t="shared" si="29"/>
        <v>6862.8852864</v>
      </c>
      <c r="J83" s="19">
        <f t="shared" si="30"/>
        <v>1085.6541695999999</v>
      </c>
      <c r="K83" s="19">
        <f t="shared" si="31"/>
        <v>46721.902655999998</v>
      </c>
      <c r="L83" s="9">
        <v>109.64</v>
      </c>
      <c r="M83" s="28">
        <f t="shared" si="25"/>
        <v>15349.6</v>
      </c>
      <c r="N83" s="28">
        <f t="shared" si="26"/>
        <v>37282.080000000002</v>
      </c>
      <c r="O83" s="2">
        <v>1</v>
      </c>
      <c r="P83" s="2">
        <v>1</v>
      </c>
      <c r="Q83" s="2">
        <v>0</v>
      </c>
      <c r="R83" s="2">
        <v>0</v>
      </c>
      <c r="S83" s="2">
        <v>0</v>
      </c>
      <c r="T83" s="2">
        <v>0</v>
      </c>
      <c r="U83" s="9">
        <v>1</v>
      </c>
      <c r="V83" s="9">
        <v>91</v>
      </c>
      <c r="W83" s="4">
        <v>150.70445000000001</v>
      </c>
      <c r="X83" s="4" t="s">
        <v>144</v>
      </c>
      <c r="Y83" s="4">
        <f>15/60</f>
        <v>0.25</v>
      </c>
      <c r="Z83" s="1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 s="9">
        <v>0</v>
      </c>
      <c r="AH83" s="9">
        <v>0</v>
      </c>
      <c r="AI83" s="16">
        <v>30</v>
      </c>
      <c r="AJ83" s="16">
        <v>15</v>
      </c>
      <c r="AK83" s="16"/>
      <c r="AL83" s="16">
        <f>3.5-0.5</f>
        <v>3</v>
      </c>
      <c r="AM83" s="16">
        <f>3.5+0.5</f>
        <v>4</v>
      </c>
      <c r="AN83" s="36">
        <v>0</v>
      </c>
      <c r="AO83" s="1">
        <v>0</v>
      </c>
    </row>
    <row r="84" spans="1:41" ht="32.1" customHeight="1" x14ac:dyDescent="0.15">
      <c r="A84" s="4" t="s">
        <v>16</v>
      </c>
      <c r="B84" s="10" t="s">
        <v>146</v>
      </c>
      <c r="C84" s="11">
        <f>9659.14</f>
        <v>9659.14</v>
      </c>
      <c r="D84" s="11">
        <v>26285.54</v>
      </c>
      <c r="E84" s="11">
        <f>C84+D84</f>
        <v>35944.68</v>
      </c>
      <c r="F84" s="17">
        <f t="shared" si="23"/>
        <v>35601.074000000001</v>
      </c>
      <c r="G84" s="17">
        <f t="shared" si="24"/>
        <v>57041.126000000004</v>
      </c>
      <c r="H84" s="17">
        <f t="shared" si="28"/>
        <v>5143.4751999999999</v>
      </c>
      <c r="I84" s="17">
        <f t="shared" si="29"/>
        <v>23670.272870399996</v>
      </c>
      <c r="J84" s="19">
        <f t="shared" si="30"/>
        <v>3744.4499455999999</v>
      </c>
      <c r="K84" s="19">
        <f t="shared" si="31"/>
        <v>161145.07801599998</v>
      </c>
      <c r="L84" s="9">
        <v>661.73</v>
      </c>
      <c r="M84" s="28">
        <f t="shared" si="25"/>
        <v>92642.200000000012</v>
      </c>
      <c r="N84" s="28">
        <f t="shared" si="26"/>
        <v>128586.88</v>
      </c>
      <c r="O84" s="2">
        <v>1</v>
      </c>
      <c r="P84" s="2">
        <v>1</v>
      </c>
      <c r="Q84" s="2">
        <v>0</v>
      </c>
      <c r="R84" s="2">
        <v>1</v>
      </c>
      <c r="S84" s="2">
        <v>0</v>
      </c>
      <c r="T84" s="2">
        <v>0</v>
      </c>
      <c r="U84" s="9">
        <v>1</v>
      </c>
      <c r="V84" s="9">
        <v>91</v>
      </c>
      <c r="W84" s="4">
        <v>150.70445000000001</v>
      </c>
      <c r="X84" s="4" t="s">
        <v>140</v>
      </c>
      <c r="Y84" s="4">
        <f t="shared" ref="Y84:Y100" si="35">9/60</f>
        <v>0.15</v>
      </c>
      <c r="Z84" s="1">
        <v>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 s="4">
        <v>1</v>
      </c>
      <c r="AH84" s="4">
        <v>1</v>
      </c>
      <c r="AI84" s="16">
        <v>30</v>
      </c>
      <c r="AJ84" s="16">
        <v>15</v>
      </c>
      <c r="AK84" s="39">
        <v>192</v>
      </c>
      <c r="AL84" s="16">
        <v>0</v>
      </c>
      <c r="AM84" s="16">
        <v>0</v>
      </c>
      <c r="AN84" s="36">
        <v>0</v>
      </c>
      <c r="AO84" s="1">
        <v>0</v>
      </c>
    </row>
    <row r="85" spans="1:41" ht="32.1" customHeight="1" x14ac:dyDescent="0.15">
      <c r="A85" s="4" t="s">
        <v>12</v>
      </c>
      <c r="B85" s="10" t="s">
        <v>110</v>
      </c>
      <c r="C85" s="11">
        <f>23887.26/1.13</f>
        <v>21139.16814159292</v>
      </c>
      <c r="D85" s="11">
        <f>767.32/1.13</f>
        <v>679.04424778761074</v>
      </c>
      <c r="E85" s="11">
        <f t="shared" ref="E85:E90" si="36">C85+D85</f>
        <v>21818.212389380529</v>
      </c>
      <c r="F85" s="17">
        <f t="shared" si="23"/>
        <v>24884.113999999998</v>
      </c>
      <c r="G85" s="17">
        <f t="shared" si="24"/>
        <v>39870.085999999996</v>
      </c>
      <c r="H85" s="17">
        <f t="shared" si="28"/>
        <v>3462.8964955752208</v>
      </c>
      <c r="I85" s="17">
        <f t="shared" si="29"/>
        <v>15936.249672637165</v>
      </c>
      <c r="J85" s="19">
        <f t="shared" si="30"/>
        <v>2520.9886487787608</v>
      </c>
      <c r="K85" s="19">
        <f t="shared" si="31"/>
        <v>108492.54720637166</v>
      </c>
      <c r="L85" s="9">
        <v>462.53</v>
      </c>
      <c r="M85" s="28">
        <f t="shared" si="25"/>
        <v>64754.2</v>
      </c>
      <c r="N85" s="28">
        <f t="shared" si="26"/>
        <v>86572.412389380523</v>
      </c>
      <c r="O85" s="2">
        <v>1</v>
      </c>
      <c r="P85" s="2">
        <v>1</v>
      </c>
      <c r="Q85" s="2">
        <v>0</v>
      </c>
      <c r="R85" s="2">
        <v>0</v>
      </c>
      <c r="S85" s="2">
        <v>0</v>
      </c>
      <c r="T85" s="2">
        <v>0</v>
      </c>
      <c r="U85" s="9">
        <v>2</v>
      </c>
      <c r="V85" s="9">
        <v>91</v>
      </c>
      <c r="W85" s="4">
        <v>150.70445000000001</v>
      </c>
      <c r="X85" s="4" t="s">
        <v>140</v>
      </c>
      <c r="Y85" s="4">
        <f t="shared" si="35"/>
        <v>0.15</v>
      </c>
      <c r="Z85" s="1">
        <v>1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0</v>
      </c>
      <c r="AG85" s="9">
        <v>0</v>
      </c>
      <c r="AH85" s="4">
        <v>1</v>
      </c>
      <c r="AI85" s="16">
        <v>30</v>
      </c>
      <c r="AJ85" s="16">
        <v>10</v>
      </c>
      <c r="AK85" s="16">
        <v>96</v>
      </c>
      <c r="AL85" s="16">
        <v>0</v>
      </c>
      <c r="AM85" s="16">
        <v>0</v>
      </c>
      <c r="AN85" s="35">
        <v>1</v>
      </c>
      <c r="AO85" s="1">
        <v>0</v>
      </c>
    </row>
    <row r="86" spans="1:41" ht="32.1" customHeight="1" x14ac:dyDescent="0.15">
      <c r="A86" s="4" t="s">
        <v>12</v>
      </c>
      <c r="B86" s="10" t="s">
        <v>111</v>
      </c>
      <c r="C86" s="11">
        <f>20860.82/1.13</f>
        <v>18460.902654867259</v>
      </c>
      <c r="D86" s="11">
        <f>25856.14/1.13</f>
        <v>22881.53982300885</v>
      </c>
      <c r="E86" s="11">
        <f t="shared" si="36"/>
        <v>41342.442477876109</v>
      </c>
      <c r="F86" s="17">
        <f t="shared" si="23"/>
        <v>33287.135999999999</v>
      </c>
      <c r="G86" s="17">
        <f t="shared" si="24"/>
        <v>53333.664000000004</v>
      </c>
      <c r="H86" s="17">
        <f t="shared" si="28"/>
        <v>5118.5296991150453</v>
      </c>
      <c r="I86" s="17">
        <f t="shared" si="29"/>
        <v>23555.473675327434</v>
      </c>
      <c r="J86" s="19">
        <f t="shared" si="30"/>
        <v>3726.2896209557525</v>
      </c>
      <c r="K86" s="19">
        <f t="shared" si="31"/>
        <v>160363.53547327436</v>
      </c>
      <c r="L86" s="9">
        <v>618.72</v>
      </c>
      <c r="M86" s="28">
        <f t="shared" si="25"/>
        <v>86620.800000000003</v>
      </c>
      <c r="N86" s="28">
        <f t="shared" si="26"/>
        <v>127963.24247787612</v>
      </c>
      <c r="O86" s="2">
        <v>1</v>
      </c>
      <c r="P86" s="2">
        <v>0</v>
      </c>
      <c r="Q86" s="2">
        <v>1</v>
      </c>
      <c r="R86" s="2">
        <v>0</v>
      </c>
      <c r="S86" s="2">
        <v>0</v>
      </c>
      <c r="T86" s="2">
        <v>0</v>
      </c>
      <c r="U86" s="9">
        <v>2</v>
      </c>
      <c r="V86" s="9">
        <v>91</v>
      </c>
      <c r="W86" s="4">
        <v>150.70445000000001</v>
      </c>
      <c r="X86" s="4" t="s">
        <v>140</v>
      </c>
      <c r="Y86" s="4">
        <f t="shared" si="35"/>
        <v>0.15</v>
      </c>
      <c r="Z86" s="1">
        <v>1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 s="9">
        <v>0</v>
      </c>
      <c r="AH86" s="4">
        <v>1</v>
      </c>
      <c r="AI86" s="16">
        <v>30</v>
      </c>
      <c r="AJ86" s="16">
        <v>10</v>
      </c>
      <c r="AK86" s="16">
        <v>96</v>
      </c>
      <c r="AL86" s="16">
        <v>0</v>
      </c>
      <c r="AM86" s="16">
        <v>0</v>
      </c>
      <c r="AN86" s="35">
        <v>1</v>
      </c>
      <c r="AO86" s="1">
        <v>0</v>
      </c>
    </row>
    <row r="87" spans="1:41" ht="32.1" customHeight="1" x14ac:dyDescent="0.15">
      <c r="A87" s="4" t="s">
        <v>12</v>
      </c>
      <c r="B87" s="10" t="s">
        <v>112</v>
      </c>
      <c r="C87" s="11">
        <f>27245.69/1.13</f>
        <v>24111.230088495577</v>
      </c>
      <c r="D87" s="11">
        <f>939.32/1.13</f>
        <v>831.25663716814176</v>
      </c>
      <c r="E87" s="11">
        <f t="shared" si="36"/>
        <v>24942.486725663719</v>
      </c>
      <c r="F87" s="17">
        <f t="shared" si="23"/>
        <v>19737.067999999999</v>
      </c>
      <c r="G87" s="17">
        <f t="shared" si="24"/>
        <v>31623.332000000002</v>
      </c>
      <c r="H87" s="17">
        <f t="shared" si="28"/>
        <v>3052.1154690265494</v>
      </c>
      <c r="I87" s="17">
        <f t="shared" si="29"/>
        <v>14045.83538846018</v>
      </c>
      <c r="J87" s="19">
        <f t="shared" si="30"/>
        <v>2221.9400614513279</v>
      </c>
      <c r="K87" s="19">
        <f t="shared" si="31"/>
        <v>95622.777644601796</v>
      </c>
      <c r="L87" s="9">
        <v>366.86</v>
      </c>
      <c r="M87" s="28">
        <f t="shared" si="25"/>
        <v>51360.4</v>
      </c>
      <c r="N87" s="28">
        <f t="shared" si="26"/>
        <v>76302.886725663731</v>
      </c>
      <c r="O87" s="2">
        <v>1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9">
        <v>2</v>
      </c>
      <c r="V87" s="9">
        <v>91</v>
      </c>
      <c r="W87" s="4">
        <v>150.70445000000001</v>
      </c>
      <c r="X87" s="4" t="s">
        <v>140</v>
      </c>
      <c r="Y87" s="4">
        <f t="shared" si="35"/>
        <v>0.15</v>
      </c>
      <c r="Z87" s="1">
        <v>1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 s="9">
        <v>0</v>
      </c>
      <c r="AH87" s="9">
        <v>0</v>
      </c>
      <c r="AI87" s="16">
        <v>30</v>
      </c>
      <c r="AJ87" s="16">
        <v>10</v>
      </c>
      <c r="AK87" s="37">
        <v>240</v>
      </c>
      <c r="AL87" s="16">
        <f t="shared" ref="AL87:AL88" si="37">3.5-0.5</f>
        <v>3</v>
      </c>
      <c r="AM87" s="16">
        <f t="shared" ref="AM87:AM88" si="38">3.5+0.5</f>
        <v>4</v>
      </c>
      <c r="AN87" s="35">
        <v>1</v>
      </c>
      <c r="AO87" s="1">
        <v>0</v>
      </c>
    </row>
    <row r="88" spans="1:41" ht="32.1" customHeight="1" x14ac:dyDescent="0.15">
      <c r="A88" s="4" t="s">
        <v>12</v>
      </c>
      <c r="B88" s="10" t="s">
        <v>113</v>
      </c>
      <c r="C88" s="11">
        <f>25883.37/1.13</f>
        <v>22905.637168141595</v>
      </c>
      <c r="D88" s="11">
        <f>25992.84/1.13</f>
        <v>23002.513274336285</v>
      </c>
      <c r="E88" s="11">
        <f t="shared" si="36"/>
        <v>45908.150442477883</v>
      </c>
      <c r="F88" s="17">
        <f t="shared" si="23"/>
        <v>22472.797999999999</v>
      </c>
      <c r="G88" s="17">
        <f t="shared" si="24"/>
        <v>36006.601999999999</v>
      </c>
      <c r="H88" s="17">
        <f t="shared" si="28"/>
        <v>4175.5020176991147</v>
      </c>
      <c r="I88" s="17">
        <f t="shared" si="29"/>
        <v>19215.660285451326</v>
      </c>
      <c r="J88" s="19">
        <f t="shared" si="30"/>
        <v>3039.7654688849557</v>
      </c>
      <c r="K88" s="19">
        <f t="shared" si="31"/>
        <v>130818.47821451328</v>
      </c>
      <c r="L88" s="9">
        <v>417.71</v>
      </c>
      <c r="M88" s="28">
        <f t="shared" si="25"/>
        <v>58479.399999999994</v>
      </c>
      <c r="N88" s="28">
        <f t="shared" si="26"/>
        <v>104387.55044247788</v>
      </c>
      <c r="O88" s="2">
        <v>1</v>
      </c>
      <c r="P88" s="2">
        <v>0</v>
      </c>
      <c r="Q88" s="2">
        <v>1</v>
      </c>
      <c r="R88" s="2">
        <v>0</v>
      </c>
      <c r="S88" s="2">
        <v>0</v>
      </c>
      <c r="T88" s="2">
        <v>0</v>
      </c>
      <c r="U88" s="9">
        <v>2</v>
      </c>
      <c r="V88" s="9">
        <v>91</v>
      </c>
      <c r="W88" s="4">
        <v>150.70445000000001</v>
      </c>
      <c r="X88" s="4" t="s">
        <v>140</v>
      </c>
      <c r="Y88" s="4">
        <f t="shared" si="35"/>
        <v>0.15</v>
      </c>
      <c r="Z88" s="1">
        <v>1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 s="9">
        <v>0</v>
      </c>
      <c r="AH88" s="9">
        <v>0</v>
      </c>
      <c r="AI88" s="16">
        <v>30</v>
      </c>
      <c r="AJ88" s="16">
        <v>10</v>
      </c>
      <c r="AK88" s="37">
        <v>240</v>
      </c>
      <c r="AL88" s="16">
        <f t="shared" si="37"/>
        <v>3</v>
      </c>
      <c r="AM88" s="16">
        <f t="shared" si="38"/>
        <v>4</v>
      </c>
      <c r="AN88" s="35">
        <v>1</v>
      </c>
      <c r="AO88" s="1">
        <v>0</v>
      </c>
    </row>
    <row r="89" spans="1:41" ht="32.1" customHeight="1" x14ac:dyDescent="0.15">
      <c r="A89" s="4" t="s">
        <v>17</v>
      </c>
      <c r="B89" s="10" t="s">
        <v>114</v>
      </c>
      <c r="C89" s="17">
        <v>10665.685000000003</v>
      </c>
      <c r="D89" s="17">
        <v>798.31999999999994</v>
      </c>
      <c r="E89" s="11">
        <f t="shared" si="36"/>
        <v>11464.005000000003</v>
      </c>
      <c r="F89" s="17">
        <f t="shared" si="23"/>
        <v>8658.0339999999997</v>
      </c>
      <c r="G89" s="17">
        <f t="shared" si="24"/>
        <v>13872.166000000001</v>
      </c>
      <c r="H89" s="17">
        <f t="shared" si="28"/>
        <v>1359.7682000000002</v>
      </c>
      <c r="I89" s="17">
        <f t="shared" si="29"/>
        <v>6257.6532563999999</v>
      </c>
      <c r="J89" s="19">
        <f t="shared" si="30"/>
        <v>989.91124960000002</v>
      </c>
      <c r="K89" s="19">
        <f t="shared" si="31"/>
        <v>42601.537706000003</v>
      </c>
      <c r="L89" s="9">
        <v>160.93</v>
      </c>
      <c r="M89" s="28">
        <f t="shared" si="25"/>
        <v>22530.2</v>
      </c>
      <c r="N89" s="28">
        <f t="shared" si="26"/>
        <v>33994.205000000002</v>
      </c>
      <c r="O89" s="2">
        <v>0</v>
      </c>
      <c r="P89" s="2">
        <v>1</v>
      </c>
      <c r="Q89" s="2">
        <v>0</v>
      </c>
      <c r="R89" s="2">
        <v>1</v>
      </c>
      <c r="S89" s="2">
        <v>0</v>
      </c>
      <c r="T89" s="2">
        <v>0</v>
      </c>
      <c r="U89" s="9">
        <v>1</v>
      </c>
      <c r="V89" s="9">
        <v>75</v>
      </c>
      <c r="W89" s="4">
        <v>101.19617</v>
      </c>
      <c r="X89" s="4" t="s">
        <v>140</v>
      </c>
      <c r="Y89" s="4">
        <f t="shared" si="35"/>
        <v>0.15</v>
      </c>
      <c r="Z89" s="1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s="9">
        <v>0</v>
      </c>
      <c r="AH89" s="4">
        <v>1</v>
      </c>
      <c r="AI89" s="16">
        <v>30</v>
      </c>
      <c r="AJ89" s="16">
        <v>10</v>
      </c>
      <c r="AK89" s="38">
        <v>48</v>
      </c>
      <c r="AL89" s="16">
        <v>0</v>
      </c>
      <c r="AM89" s="16">
        <v>0</v>
      </c>
      <c r="AN89" s="36">
        <v>0</v>
      </c>
      <c r="AO89" s="1">
        <v>0</v>
      </c>
    </row>
    <row r="90" spans="1:41" ht="32.1" customHeight="1" x14ac:dyDescent="0.15">
      <c r="A90" s="4" t="s">
        <v>17</v>
      </c>
      <c r="B90" s="10" t="s">
        <v>115</v>
      </c>
      <c r="C90" s="17">
        <v>8975.4250000000029</v>
      </c>
      <c r="D90" s="17">
        <v>12662.94</v>
      </c>
      <c r="E90" s="11">
        <f t="shared" si="36"/>
        <v>21638.365000000005</v>
      </c>
      <c r="F90" s="17">
        <f t="shared" ref="F90:F110" si="39">L90*53.8</f>
        <v>8099.0519999999988</v>
      </c>
      <c r="G90" s="17">
        <f t="shared" ref="G90:G110" si="40">L90*86.2</f>
        <v>12976.547999999999</v>
      </c>
      <c r="H90" s="17">
        <f t="shared" si="28"/>
        <v>1708.5586000000003</v>
      </c>
      <c r="I90" s="17">
        <f t="shared" si="29"/>
        <v>7862.7866771999998</v>
      </c>
      <c r="J90" s="19">
        <f t="shared" si="30"/>
        <v>1243.8306608</v>
      </c>
      <c r="K90" s="19">
        <f t="shared" si="31"/>
        <v>53529.140937999997</v>
      </c>
      <c r="L90" s="9">
        <v>150.54</v>
      </c>
      <c r="M90" s="28">
        <f t="shared" si="25"/>
        <v>21075.599999999999</v>
      </c>
      <c r="N90" s="28">
        <f t="shared" si="26"/>
        <v>42713.965000000004</v>
      </c>
      <c r="O90" s="2">
        <v>0</v>
      </c>
      <c r="P90" s="2">
        <v>0</v>
      </c>
      <c r="Q90" s="2">
        <v>1</v>
      </c>
      <c r="R90" s="2">
        <v>0</v>
      </c>
      <c r="S90" s="2">
        <v>0</v>
      </c>
      <c r="T90" s="2">
        <v>0</v>
      </c>
      <c r="U90" s="9">
        <v>1</v>
      </c>
      <c r="V90" s="9">
        <v>75</v>
      </c>
      <c r="W90" s="4">
        <v>101.19617</v>
      </c>
      <c r="X90" s="4" t="s">
        <v>140</v>
      </c>
      <c r="Y90" s="4">
        <f t="shared" si="35"/>
        <v>0.15</v>
      </c>
      <c r="Z90" s="1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 s="9">
        <v>0</v>
      </c>
      <c r="AH90" s="4">
        <v>1</v>
      </c>
      <c r="AI90" s="16">
        <v>30</v>
      </c>
      <c r="AJ90" s="16">
        <v>10</v>
      </c>
      <c r="AK90" s="38">
        <v>48</v>
      </c>
      <c r="AL90" s="16">
        <v>0</v>
      </c>
      <c r="AM90" s="16">
        <v>0</v>
      </c>
      <c r="AN90" s="36">
        <v>0</v>
      </c>
      <c r="AO90" s="1">
        <v>0</v>
      </c>
    </row>
    <row r="91" spans="1:41" ht="32.1" customHeight="1" x14ac:dyDescent="0.15">
      <c r="A91" s="9" t="s">
        <v>12</v>
      </c>
      <c r="B91" s="10" t="s">
        <v>116</v>
      </c>
      <c r="C91" s="27">
        <v>24155.113800884959</v>
      </c>
      <c r="D91" s="23">
        <v>539.38053097345141</v>
      </c>
      <c r="E91" s="28">
        <f t="shared" ref="E91:E110" si="41">D91+C91</f>
        <v>24694.494331858412</v>
      </c>
      <c r="F91" s="17">
        <f t="shared" si="39"/>
        <v>35380.493999999999</v>
      </c>
      <c r="G91" s="17">
        <f t="shared" si="40"/>
        <v>56687.705999999998</v>
      </c>
      <c r="H91" s="17">
        <f t="shared" si="28"/>
        <v>4670.5077732743366</v>
      </c>
      <c r="I91" s="17">
        <f t="shared" si="29"/>
        <v>21493.676772608495</v>
      </c>
      <c r="J91" s="19">
        <f t="shared" si="30"/>
        <v>3400.129658943717</v>
      </c>
      <c r="K91" s="19">
        <f t="shared" si="31"/>
        <v>146327.00853668494</v>
      </c>
      <c r="L91" s="9">
        <v>657.63</v>
      </c>
      <c r="M91" s="28">
        <f t="shared" si="25"/>
        <v>92068.2</v>
      </c>
      <c r="N91" s="28">
        <f t="shared" si="26"/>
        <v>116762.69433185841</v>
      </c>
      <c r="O91" s="2">
        <v>1</v>
      </c>
      <c r="P91" s="2">
        <v>1</v>
      </c>
      <c r="Q91" s="2">
        <v>0</v>
      </c>
      <c r="R91" s="2">
        <v>0</v>
      </c>
      <c r="S91" s="2">
        <v>0</v>
      </c>
      <c r="T91" s="2">
        <v>0</v>
      </c>
      <c r="U91" s="9">
        <v>2</v>
      </c>
      <c r="V91" s="9">
        <v>91</v>
      </c>
      <c r="W91" s="9">
        <v>150.70445000000001</v>
      </c>
      <c r="X91" s="9" t="s">
        <v>140</v>
      </c>
      <c r="Y91" s="4">
        <f t="shared" si="35"/>
        <v>0.15</v>
      </c>
      <c r="Z91" s="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 s="4">
        <v>1</v>
      </c>
      <c r="AH91" s="4">
        <v>1</v>
      </c>
      <c r="AI91" s="13">
        <v>60</v>
      </c>
      <c r="AJ91" s="16">
        <v>15</v>
      </c>
      <c r="AK91" s="39">
        <v>192</v>
      </c>
      <c r="AL91" s="41">
        <f>3.5-5</f>
        <v>-1.5</v>
      </c>
      <c r="AM91" s="41">
        <f>3.5+5</f>
        <v>8.5</v>
      </c>
      <c r="AN91" s="36">
        <v>0</v>
      </c>
      <c r="AO91" s="1">
        <v>0</v>
      </c>
    </row>
    <row r="92" spans="1:41" ht="32.1" customHeight="1" x14ac:dyDescent="0.15">
      <c r="A92" s="9" t="s">
        <v>12</v>
      </c>
      <c r="B92" s="10" t="s">
        <v>41</v>
      </c>
      <c r="C92" s="27">
        <v>24155.113800884956</v>
      </c>
      <c r="D92" s="23">
        <v>539.38053097345141</v>
      </c>
      <c r="E92" s="28">
        <f t="shared" si="41"/>
        <v>24694.494331858408</v>
      </c>
      <c r="F92" s="17">
        <f t="shared" si="39"/>
        <v>40391.964</v>
      </c>
      <c r="G92" s="17">
        <f t="shared" si="40"/>
        <v>64717.235999999997</v>
      </c>
      <c r="H92" s="17">
        <f t="shared" si="28"/>
        <v>5192.147773274336</v>
      </c>
      <c r="I92" s="17">
        <f t="shared" si="29"/>
        <v>23894.264052608491</v>
      </c>
      <c r="J92" s="19">
        <f t="shared" si="30"/>
        <v>3779.8835789437167</v>
      </c>
      <c r="K92" s="19">
        <f t="shared" si="31"/>
        <v>162669.98973668495</v>
      </c>
      <c r="L92" s="9">
        <v>750.78</v>
      </c>
      <c r="M92" s="28">
        <f t="shared" si="25"/>
        <v>105109.2</v>
      </c>
      <c r="N92" s="28">
        <f t="shared" si="26"/>
        <v>129803.69433185839</v>
      </c>
      <c r="O92" s="2">
        <v>1</v>
      </c>
      <c r="P92" s="2">
        <v>1</v>
      </c>
      <c r="Q92" s="2">
        <v>0</v>
      </c>
      <c r="R92" s="2">
        <v>0</v>
      </c>
      <c r="S92" s="2">
        <v>0</v>
      </c>
      <c r="T92" s="2">
        <v>0</v>
      </c>
      <c r="U92" s="9">
        <v>2</v>
      </c>
      <c r="V92" s="9">
        <v>91</v>
      </c>
      <c r="W92" s="9">
        <v>150.70445000000001</v>
      </c>
      <c r="X92" s="9" t="s">
        <v>140</v>
      </c>
      <c r="Y92" s="4">
        <f t="shared" si="35"/>
        <v>0.15</v>
      </c>
      <c r="Z92" s="1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4">
        <v>1</v>
      </c>
      <c r="AH92" s="4">
        <v>1</v>
      </c>
      <c r="AI92" s="13">
        <v>60</v>
      </c>
      <c r="AJ92" s="16">
        <v>15</v>
      </c>
      <c r="AK92" s="39">
        <v>192</v>
      </c>
      <c r="AL92" s="41">
        <f t="shared" ref="AL92:AL96" si="42">3.5-5</f>
        <v>-1.5</v>
      </c>
      <c r="AM92" s="41">
        <f t="shared" ref="AM92:AM96" si="43">3.5+5</f>
        <v>8.5</v>
      </c>
      <c r="AN92" s="36">
        <v>0</v>
      </c>
      <c r="AO92" s="1">
        <v>0</v>
      </c>
    </row>
    <row r="93" spans="1:41" ht="32.1" customHeight="1" x14ac:dyDescent="0.15">
      <c r="A93" s="9" t="s">
        <v>12</v>
      </c>
      <c r="B93" s="10" t="s">
        <v>42</v>
      </c>
      <c r="C93" s="27">
        <v>24155.113800884956</v>
      </c>
      <c r="D93" s="23">
        <v>539.38053097345141</v>
      </c>
      <c r="E93" s="28">
        <f t="shared" si="41"/>
        <v>24694.494331858408</v>
      </c>
      <c r="F93" s="17">
        <f t="shared" si="39"/>
        <v>41014.43</v>
      </c>
      <c r="G93" s="17">
        <f t="shared" si="40"/>
        <v>65714.570000000007</v>
      </c>
      <c r="H93" s="17">
        <f t="shared" si="28"/>
        <v>5256.9397732743364</v>
      </c>
      <c r="I93" s="17">
        <f t="shared" si="29"/>
        <v>24192.436836608493</v>
      </c>
      <c r="J93" s="19">
        <f t="shared" si="30"/>
        <v>3827.0521549437167</v>
      </c>
      <c r="K93" s="19">
        <f t="shared" si="31"/>
        <v>164699.92309668494</v>
      </c>
      <c r="L93" s="9">
        <v>762.35</v>
      </c>
      <c r="M93" s="28">
        <f t="shared" si="25"/>
        <v>106729</v>
      </c>
      <c r="N93" s="28">
        <f t="shared" si="26"/>
        <v>131423.49433185841</v>
      </c>
      <c r="O93" s="2">
        <v>1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9">
        <v>2</v>
      </c>
      <c r="V93" s="9">
        <v>91</v>
      </c>
      <c r="W93" s="9">
        <v>150.70445000000001</v>
      </c>
      <c r="X93" s="9" t="s">
        <v>140</v>
      </c>
      <c r="Y93" s="4">
        <f t="shared" si="35"/>
        <v>0.15</v>
      </c>
      <c r="Z93" s="1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 s="4">
        <v>1</v>
      </c>
      <c r="AH93" s="4">
        <v>1</v>
      </c>
      <c r="AI93" s="13">
        <v>60</v>
      </c>
      <c r="AJ93" s="16">
        <v>15</v>
      </c>
      <c r="AK93" s="39">
        <v>192</v>
      </c>
      <c r="AL93" s="41">
        <f t="shared" si="42"/>
        <v>-1.5</v>
      </c>
      <c r="AM93" s="41">
        <f t="shared" si="43"/>
        <v>8.5</v>
      </c>
      <c r="AN93" s="36">
        <v>0</v>
      </c>
      <c r="AO93" s="1">
        <v>0</v>
      </c>
    </row>
    <row r="94" spans="1:41" ht="32.1" customHeight="1" x14ac:dyDescent="0.15">
      <c r="A94" s="9" t="s">
        <v>12</v>
      </c>
      <c r="B94" s="10" t="s">
        <v>43</v>
      </c>
      <c r="C94" s="27">
        <v>25311.819110619468</v>
      </c>
      <c r="D94" s="23">
        <v>539.38053097345141</v>
      </c>
      <c r="E94" s="28">
        <f t="shared" si="41"/>
        <v>25851.199641592921</v>
      </c>
      <c r="F94" s="17">
        <f t="shared" si="39"/>
        <v>38416.427999999993</v>
      </c>
      <c r="G94" s="17">
        <f t="shared" si="40"/>
        <v>61551.971999999994</v>
      </c>
      <c r="H94" s="17">
        <f t="shared" si="28"/>
        <v>5032.7839856637165</v>
      </c>
      <c r="I94" s="17">
        <f t="shared" si="29"/>
        <v>23160.871902024421</v>
      </c>
      <c r="J94" s="19">
        <f t="shared" si="30"/>
        <v>3663.8667415631858</v>
      </c>
      <c r="K94" s="19">
        <f t="shared" si="31"/>
        <v>157677.12227084424</v>
      </c>
      <c r="L94" s="9">
        <v>714.06</v>
      </c>
      <c r="M94" s="28">
        <f t="shared" si="25"/>
        <v>99968.4</v>
      </c>
      <c r="N94" s="28">
        <f t="shared" si="26"/>
        <v>125819.59964159291</v>
      </c>
      <c r="O94" s="2">
        <v>1</v>
      </c>
      <c r="P94" s="2">
        <v>1</v>
      </c>
      <c r="Q94" s="2">
        <v>0</v>
      </c>
      <c r="R94" s="2">
        <v>0</v>
      </c>
      <c r="S94" s="2">
        <v>0</v>
      </c>
      <c r="T94" s="2">
        <v>0</v>
      </c>
      <c r="U94" s="9">
        <v>2</v>
      </c>
      <c r="V94" s="9">
        <v>91</v>
      </c>
      <c r="W94" s="9">
        <v>150.70445000000001</v>
      </c>
      <c r="X94" s="9" t="s">
        <v>140</v>
      </c>
      <c r="Y94" s="4">
        <f t="shared" si="35"/>
        <v>0.15</v>
      </c>
      <c r="Z94" s="1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 s="4">
        <v>1</v>
      </c>
      <c r="AH94" s="4">
        <v>1</v>
      </c>
      <c r="AI94" s="13">
        <v>60</v>
      </c>
      <c r="AJ94" s="16">
        <v>15</v>
      </c>
      <c r="AK94" s="39">
        <v>192</v>
      </c>
      <c r="AL94" s="41">
        <f t="shared" si="42"/>
        <v>-1.5</v>
      </c>
      <c r="AM94" s="41">
        <f t="shared" si="43"/>
        <v>8.5</v>
      </c>
      <c r="AN94" s="36">
        <v>0</v>
      </c>
      <c r="AO94" s="1">
        <v>0</v>
      </c>
    </row>
    <row r="95" spans="1:41" ht="32.1" customHeight="1" x14ac:dyDescent="0.15">
      <c r="A95" s="9" t="s">
        <v>12</v>
      </c>
      <c r="B95" s="10" t="s">
        <v>44</v>
      </c>
      <c r="C95" s="27">
        <v>27210.049199115045</v>
      </c>
      <c r="D95" s="23">
        <v>539.38053097345141</v>
      </c>
      <c r="E95" s="28">
        <f t="shared" si="41"/>
        <v>27749.429730088497</v>
      </c>
      <c r="F95" s="17">
        <f t="shared" si="39"/>
        <v>38336.804000000004</v>
      </c>
      <c r="G95" s="17">
        <f t="shared" si="40"/>
        <v>61424.396000000008</v>
      </c>
      <c r="H95" s="17">
        <f t="shared" si="28"/>
        <v>5100.42518920354</v>
      </c>
      <c r="I95" s="17">
        <f t="shared" si="29"/>
        <v>23472.156720714691</v>
      </c>
      <c r="J95" s="19">
        <f t="shared" si="30"/>
        <v>3713.1095377401775</v>
      </c>
      <c r="K95" s="19">
        <f t="shared" si="31"/>
        <v>159796.32117774693</v>
      </c>
      <c r="L95" s="9">
        <v>712.58</v>
      </c>
      <c r="M95" s="28">
        <f t="shared" si="25"/>
        <v>99761.200000000012</v>
      </c>
      <c r="N95" s="28">
        <f t="shared" si="26"/>
        <v>127510.62973008851</v>
      </c>
      <c r="O95" s="2">
        <v>1</v>
      </c>
      <c r="P95" s="2">
        <v>1</v>
      </c>
      <c r="Q95" s="2">
        <v>0</v>
      </c>
      <c r="R95" s="2">
        <v>0</v>
      </c>
      <c r="S95" s="2">
        <v>0</v>
      </c>
      <c r="T95" s="2">
        <v>0</v>
      </c>
      <c r="U95" s="9">
        <v>2</v>
      </c>
      <c r="V95" s="9">
        <v>91</v>
      </c>
      <c r="W95" s="9">
        <v>150.70445000000001</v>
      </c>
      <c r="X95" s="9" t="s">
        <v>140</v>
      </c>
      <c r="Y95" s="4">
        <f t="shared" si="35"/>
        <v>0.15</v>
      </c>
      <c r="Z95" s="1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 s="4">
        <v>1</v>
      </c>
      <c r="AH95" s="4">
        <v>1</v>
      </c>
      <c r="AI95" s="13">
        <v>60</v>
      </c>
      <c r="AJ95" s="16">
        <v>15</v>
      </c>
      <c r="AK95" s="39">
        <v>192</v>
      </c>
      <c r="AL95" s="41">
        <f t="shared" si="42"/>
        <v>-1.5</v>
      </c>
      <c r="AM95" s="41">
        <f t="shared" si="43"/>
        <v>8.5</v>
      </c>
      <c r="AN95" s="36">
        <v>0</v>
      </c>
      <c r="AO95" s="1">
        <v>0</v>
      </c>
    </row>
    <row r="96" spans="1:41" ht="32.1" customHeight="1" x14ac:dyDescent="0.15">
      <c r="A96" s="9" t="s">
        <v>12</v>
      </c>
      <c r="B96" s="10" t="s">
        <v>45</v>
      </c>
      <c r="C96" s="27">
        <v>26937.766799557521</v>
      </c>
      <c r="D96" s="23">
        <v>17716.6017699115</v>
      </c>
      <c r="E96" s="28">
        <f t="shared" si="41"/>
        <v>44654.368569469021</v>
      </c>
      <c r="F96" s="17">
        <f t="shared" si="39"/>
        <v>48457.66</v>
      </c>
      <c r="G96" s="17">
        <f t="shared" si="40"/>
        <v>77640.340000000011</v>
      </c>
      <c r="H96" s="17">
        <f t="shared" si="28"/>
        <v>6830.0947427787614</v>
      </c>
      <c r="I96" s="17">
        <f t="shared" si="29"/>
        <v>31432.096006267853</v>
      </c>
      <c r="J96" s="19">
        <f t="shared" si="30"/>
        <v>4972.3089727429378</v>
      </c>
      <c r="K96" s="19">
        <f t="shared" si="31"/>
        <v>213986.86829125855</v>
      </c>
      <c r="L96" s="9">
        <v>900.7</v>
      </c>
      <c r="M96" s="28">
        <f t="shared" si="25"/>
        <v>126098.00000000001</v>
      </c>
      <c r="N96" s="28">
        <f t="shared" si="26"/>
        <v>170752.36856946902</v>
      </c>
      <c r="O96" s="2">
        <v>1</v>
      </c>
      <c r="P96" s="2">
        <v>1</v>
      </c>
      <c r="Q96" s="2">
        <v>1</v>
      </c>
      <c r="R96" s="2">
        <v>0</v>
      </c>
      <c r="S96" s="2">
        <v>0</v>
      </c>
      <c r="T96" s="2">
        <v>0</v>
      </c>
      <c r="U96" s="9">
        <v>2</v>
      </c>
      <c r="V96" s="9">
        <v>91</v>
      </c>
      <c r="W96" s="9">
        <v>150.70445000000001</v>
      </c>
      <c r="X96" s="9" t="s">
        <v>140</v>
      </c>
      <c r="Y96" s="4">
        <f t="shared" si="35"/>
        <v>0.15</v>
      </c>
      <c r="Z96" s="1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 s="4">
        <v>1</v>
      </c>
      <c r="AH96" s="4">
        <v>1</v>
      </c>
      <c r="AI96" s="13">
        <v>60</v>
      </c>
      <c r="AJ96" s="16">
        <v>15</v>
      </c>
      <c r="AK96" s="39">
        <v>192</v>
      </c>
      <c r="AL96" s="41">
        <f t="shared" si="42"/>
        <v>-1.5</v>
      </c>
      <c r="AM96" s="41">
        <f t="shared" si="43"/>
        <v>8.5</v>
      </c>
      <c r="AN96" s="36">
        <v>0</v>
      </c>
      <c r="AO96" s="1">
        <v>0</v>
      </c>
    </row>
    <row r="97" spans="1:41" ht="32.1" customHeight="1" x14ac:dyDescent="0.15">
      <c r="A97" s="4" t="s">
        <v>12</v>
      </c>
      <c r="B97" s="10" t="s">
        <v>117</v>
      </c>
      <c r="C97" s="29">
        <v>20377.82</v>
      </c>
      <c r="D97" s="29">
        <v>680.42</v>
      </c>
      <c r="E97" s="28">
        <f t="shared" si="41"/>
        <v>21058.239999999998</v>
      </c>
      <c r="F97" s="17">
        <f t="shared" si="39"/>
        <v>35184.661999999997</v>
      </c>
      <c r="G97" s="17">
        <f t="shared" si="40"/>
        <v>56373.938000000002</v>
      </c>
      <c r="H97" s="17">
        <f t="shared" ref="H97:H100" si="44">SUM(E97:G97)*0.04</f>
        <v>4504.6736000000001</v>
      </c>
      <c r="I97" s="17">
        <f t="shared" ref="I97:I100" si="45">SUM(E97:H97)*0.177</f>
        <v>20730.507907199997</v>
      </c>
      <c r="J97" s="19">
        <f t="shared" si="30"/>
        <v>3279.4023807999997</v>
      </c>
      <c r="K97" s="19">
        <f t="shared" ref="K97:K100" si="46">SUM(E97:J97)</f>
        <v>141131.42388799999</v>
      </c>
      <c r="L97" s="9">
        <v>653.99</v>
      </c>
      <c r="M97" s="28">
        <f t="shared" si="25"/>
        <v>91558.6</v>
      </c>
      <c r="N97" s="28">
        <f t="shared" si="26"/>
        <v>112616.84</v>
      </c>
      <c r="O97" s="2">
        <v>1</v>
      </c>
      <c r="P97" s="2">
        <v>1</v>
      </c>
      <c r="Q97" s="2">
        <v>1</v>
      </c>
      <c r="R97" s="2">
        <v>0</v>
      </c>
      <c r="S97" s="2">
        <v>0</v>
      </c>
      <c r="T97" s="2">
        <v>0</v>
      </c>
      <c r="U97" s="9">
        <v>3</v>
      </c>
      <c r="V97" s="9">
        <v>91</v>
      </c>
      <c r="W97" s="4">
        <v>344.98689999999999</v>
      </c>
      <c r="X97" s="4" t="s">
        <v>140</v>
      </c>
      <c r="Y97" s="4">
        <f t="shared" si="35"/>
        <v>0.15</v>
      </c>
      <c r="Z97" s="1">
        <v>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 s="4">
        <v>1</v>
      </c>
      <c r="AH97" s="4">
        <v>1</v>
      </c>
      <c r="AI97" s="16">
        <v>30</v>
      </c>
      <c r="AJ97" s="16">
        <v>10</v>
      </c>
      <c r="AK97" s="16">
        <v>96</v>
      </c>
      <c r="AL97" s="16">
        <v>0</v>
      </c>
      <c r="AM97" s="16">
        <v>0</v>
      </c>
      <c r="AN97" s="35">
        <v>1</v>
      </c>
      <c r="AO97" s="1">
        <v>0</v>
      </c>
    </row>
    <row r="98" spans="1:41" ht="32.1" customHeight="1" x14ac:dyDescent="0.15">
      <c r="A98" s="4" t="s">
        <v>12</v>
      </c>
      <c r="B98" s="10" t="s">
        <v>34</v>
      </c>
      <c r="C98" s="29">
        <v>16403.53</v>
      </c>
      <c r="D98" s="29">
        <v>1212.4000000000001</v>
      </c>
      <c r="E98" s="28">
        <f t="shared" si="41"/>
        <v>17615.93</v>
      </c>
      <c r="F98" s="17">
        <f t="shared" si="39"/>
        <v>24350.417999999998</v>
      </c>
      <c r="G98" s="17">
        <f t="shared" si="40"/>
        <v>39014.982000000004</v>
      </c>
      <c r="H98" s="17">
        <f t="shared" si="44"/>
        <v>3239.2532000000001</v>
      </c>
      <c r="I98" s="17">
        <f t="shared" si="45"/>
        <v>14907.043226400001</v>
      </c>
      <c r="J98" s="19">
        <f t="shared" si="30"/>
        <v>2358.1763296000004</v>
      </c>
      <c r="K98" s="19">
        <f t="shared" si="46"/>
        <v>101485.802756</v>
      </c>
      <c r="L98" s="9">
        <v>452.61</v>
      </c>
      <c r="M98" s="28">
        <f t="shared" si="25"/>
        <v>63365.4</v>
      </c>
      <c r="N98" s="28">
        <f t="shared" si="26"/>
        <v>80981.33</v>
      </c>
      <c r="O98" s="2">
        <v>1</v>
      </c>
      <c r="P98" s="2">
        <v>1</v>
      </c>
      <c r="Q98" s="2">
        <v>1</v>
      </c>
      <c r="R98" s="2">
        <v>0</v>
      </c>
      <c r="S98" s="2">
        <v>0</v>
      </c>
      <c r="T98" s="2">
        <v>0</v>
      </c>
      <c r="U98" s="9">
        <v>2</v>
      </c>
      <c r="V98" s="9">
        <v>91</v>
      </c>
      <c r="W98" s="4">
        <v>344.98689999999999</v>
      </c>
      <c r="X98" s="4" t="s">
        <v>140</v>
      </c>
      <c r="Y98" s="4">
        <f t="shared" si="35"/>
        <v>0.15</v>
      </c>
      <c r="Z98" s="1">
        <v>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 s="4">
        <v>1</v>
      </c>
      <c r="AH98" s="4">
        <v>1</v>
      </c>
      <c r="AI98" s="16">
        <v>30</v>
      </c>
      <c r="AJ98" s="16">
        <v>10</v>
      </c>
      <c r="AK98" s="16">
        <v>96</v>
      </c>
      <c r="AL98" s="16">
        <v>0</v>
      </c>
      <c r="AM98" s="16">
        <v>0</v>
      </c>
      <c r="AN98" s="35">
        <v>1</v>
      </c>
      <c r="AO98" s="1">
        <v>0</v>
      </c>
    </row>
    <row r="99" spans="1:41" ht="32.1" customHeight="1" x14ac:dyDescent="0.15">
      <c r="A99" s="4" t="s">
        <v>12</v>
      </c>
      <c r="B99" s="10" t="s">
        <v>118</v>
      </c>
      <c r="C99" s="29">
        <v>22961.596415929238</v>
      </c>
      <c r="D99" s="29">
        <v>17849.91</v>
      </c>
      <c r="E99" s="28">
        <f t="shared" si="41"/>
        <v>40811.506415929238</v>
      </c>
      <c r="F99" s="17">
        <f t="shared" si="39"/>
        <v>39491.889999999992</v>
      </c>
      <c r="G99" s="17">
        <f t="shared" si="40"/>
        <v>63275.11</v>
      </c>
      <c r="H99" s="17">
        <f t="shared" si="44"/>
        <v>5743.1402566371698</v>
      </c>
      <c r="I99" s="17">
        <f t="shared" si="45"/>
        <v>26429.931461044256</v>
      </c>
      <c r="J99" s="19">
        <f t="shared" si="30"/>
        <v>4181.0061068318601</v>
      </c>
      <c r="K99" s="19">
        <f t="shared" si="46"/>
        <v>179932.58424044255</v>
      </c>
      <c r="L99" s="9">
        <v>734.05</v>
      </c>
      <c r="M99" s="28">
        <f t="shared" si="25"/>
        <v>102767</v>
      </c>
      <c r="N99" s="28">
        <f t="shared" si="26"/>
        <v>143578.50641592924</v>
      </c>
      <c r="O99" s="2">
        <v>1</v>
      </c>
      <c r="P99" s="2">
        <v>1</v>
      </c>
      <c r="Q99" s="2">
        <v>1</v>
      </c>
      <c r="R99" s="2">
        <v>0</v>
      </c>
      <c r="S99" s="2">
        <v>0</v>
      </c>
      <c r="T99" s="2">
        <v>0</v>
      </c>
      <c r="U99" s="9">
        <v>4</v>
      </c>
      <c r="V99" s="9">
        <v>75</v>
      </c>
      <c r="W99" s="4">
        <v>344.98689999999999</v>
      </c>
      <c r="X99" s="4" t="s">
        <v>140</v>
      </c>
      <c r="Y99" s="4">
        <f t="shared" si="35"/>
        <v>0.15</v>
      </c>
      <c r="Z99" s="1">
        <v>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 s="4">
        <v>1</v>
      </c>
      <c r="AH99" s="4">
        <v>1</v>
      </c>
      <c r="AI99" s="16">
        <v>30</v>
      </c>
      <c r="AJ99" s="16">
        <v>10</v>
      </c>
      <c r="AK99" s="16">
        <v>96</v>
      </c>
      <c r="AL99" s="16">
        <v>0</v>
      </c>
      <c r="AM99" s="16">
        <v>0</v>
      </c>
      <c r="AN99" s="35">
        <v>1</v>
      </c>
      <c r="AO99" s="1">
        <v>0</v>
      </c>
    </row>
    <row r="100" spans="1:41" ht="32.1" customHeight="1" x14ac:dyDescent="0.15">
      <c r="A100" s="4" t="s">
        <v>12</v>
      </c>
      <c r="B100" s="10" t="s">
        <v>119</v>
      </c>
      <c r="C100" s="29">
        <v>32539.37</v>
      </c>
      <c r="D100" s="29">
        <v>28732.85</v>
      </c>
      <c r="E100" s="28">
        <f t="shared" si="41"/>
        <v>61272.22</v>
      </c>
      <c r="F100" s="17">
        <f t="shared" si="39"/>
        <v>63393.077999999994</v>
      </c>
      <c r="G100" s="17">
        <f t="shared" si="40"/>
        <v>101570.322</v>
      </c>
      <c r="H100" s="17">
        <f t="shared" si="44"/>
        <v>9049.4248000000007</v>
      </c>
      <c r="I100" s="17">
        <f t="shared" si="45"/>
        <v>41645.452929599996</v>
      </c>
      <c r="J100" s="19">
        <f t="shared" si="30"/>
        <v>6587.9812544000006</v>
      </c>
      <c r="K100" s="19">
        <f t="shared" si="46"/>
        <v>283518.47898399999</v>
      </c>
      <c r="L100" s="9">
        <v>1178.31</v>
      </c>
      <c r="M100" s="28">
        <f t="shared" si="25"/>
        <v>164963.4</v>
      </c>
      <c r="N100" s="28">
        <f t="shared" si="26"/>
        <v>226235.62</v>
      </c>
      <c r="O100" s="2">
        <v>1</v>
      </c>
      <c r="P100" s="2">
        <v>1</v>
      </c>
      <c r="Q100" s="2">
        <v>1</v>
      </c>
      <c r="R100" s="2">
        <v>0</v>
      </c>
      <c r="S100" s="2">
        <v>0</v>
      </c>
      <c r="T100" s="2">
        <v>0</v>
      </c>
      <c r="U100" s="9">
        <v>6</v>
      </c>
      <c r="V100" s="9">
        <v>66</v>
      </c>
      <c r="W100" s="4">
        <v>344.98689999999999</v>
      </c>
      <c r="X100" s="4" t="s">
        <v>140</v>
      </c>
      <c r="Y100" s="4">
        <f t="shared" si="35"/>
        <v>0.15</v>
      </c>
      <c r="Z100" s="1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 s="4">
        <v>1</v>
      </c>
      <c r="AH100" s="4">
        <v>1</v>
      </c>
      <c r="AI100" s="16">
        <v>30</v>
      </c>
      <c r="AJ100" s="16">
        <v>10</v>
      </c>
      <c r="AK100" s="16">
        <v>96</v>
      </c>
      <c r="AL100" s="16">
        <v>0</v>
      </c>
      <c r="AM100" s="16">
        <v>0</v>
      </c>
      <c r="AN100" s="35">
        <v>1</v>
      </c>
      <c r="AO100" s="1">
        <v>0</v>
      </c>
    </row>
    <row r="101" spans="1:41" ht="32.1" customHeight="1" x14ac:dyDescent="0.15">
      <c r="A101" s="9" t="s">
        <v>18</v>
      </c>
      <c r="B101" s="10" t="s">
        <v>121</v>
      </c>
      <c r="C101" s="23">
        <v>2354.0100000000002</v>
      </c>
      <c r="D101" s="23">
        <v>4024.0500000000006</v>
      </c>
      <c r="E101" s="28">
        <f t="shared" si="41"/>
        <v>6378.0600000000013</v>
      </c>
      <c r="F101" s="17">
        <f t="shared" si="39"/>
        <v>62626.965999999993</v>
      </c>
      <c r="G101" s="17">
        <f t="shared" si="40"/>
        <v>100342.834</v>
      </c>
      <c r="H101" s="17">
        <f t="shared" ref="H101:H109" si="47">SUM(E101:G101)*0.04</f>
        <v>6773.9143999999997</v>
      </c>
      <c r="I101" s="17">
        <f t="shared" ref="I101:I109" si="48">SUM(E101:H101)*0.177</f>
        <v>31173.554068799996</v>
      </c>
      <c r="J101" s="19">
        <f t="shared" ref="J101:J109" si="49">SUM(E101:H101)*0.028</f>
        <v>4931.4096831999996</v>
      </c>
      <c r="K101" s="19">
        <f t="shared" ref="K101:K109" si="50">SUM(E101:J101)</f>
        <v>212226.73815200001</v>
      </c>
      <c r="L101" s="9">
        <v>1164.07</v>
      </c>
      <c r="M101" s="28">
        <f t="shared" si="25"/>
        <v>162969.79999999999</v>
      </c>
      <c r="N101" s="28">
        <f t="shared" si="26"/>
        <v>169347.86</v>
      </c>
      <c r="O101" s="2">
        <v>0</v>
      </c>
      <c r="P101" s="2">
        <v>1</v>
      </c>
      <c r="Q101" s="2">
        <v>0</v>
      </c>
      <c r="R101" s="2">
        <v>0</v>
      </c>
      <c r="S101" s="2">
        <v>1</v>
      </c>
      <c r="T101" s="2">
        <v>0</v>
      </c>
      <c r="U101" s="9">
        <v>1</v>
      </c>
      <c r="V101" s="9">
        <v>145</v>
      </c>
      <c r="W101" s="9">
        <v>392.51519999999999</v>
      </c>
      <c r="X101" s="9">
        <v>57.3</v>
      </c>
      <c r="Y101" s="9">
        <f>X101/W101</f>
        <v>0.14598160784601463</v>
      </c>
      <c r="Z101" s="1">
        <v>0</v>
      </c>
      <c r="AA101" s="33">
        <v>0</v>
      </c>
      <c r="AB101" s="33">
        <v>0</v>
      </c>
      <c r="AC101" s="33">
        <v>0</v>
      </c>
      <c r="AD101" s="33">
        <v>204</v>
      </c>
      <c r="AE101" s="33">
        <v>0</v>
      </c>
      <c r="AF101" s="34">
        <v>0</v>
      </c>
      <c r="AG101" s="4">
        <v>1</v>
      </c>
      <c r="AH101" s="4">
        <v>1</v>
      </c>
      <c r="AI101" s="13">
        <v>38</v>
      </c>
      <c r="AJ101" s="16">
        <v>10</v>
      </c>
      <c r="AK101" s="13">
        <v>98</v>
      </c>
      <c r="AL101" s="16">
        <v>0</v>
      </c>
      <c r="AM101" s="16">
        <v>0</v>
      </c>
      <c r="AN101" s="36">
        <v>0</v>
      </c>
      <c r="AO101" s="1">
        <v>0</v>
      </c>
    </row>
    <row r="102" spans="1:41" ht="32.1" customHeight="1" x14ac:dyDescent="0.15">
      <c r="A102" s="9" t="s">
        <v>18</v>
      </c>
      <c r="B102" s="10" t="s">
        <v>122</v>
      </c>
      <c r="C102" s="23">
        <v>1852.2200000000003</v>
      </c>
      <c r="D102" s="23">
        <v>4034.6699999999996</v>
      </c>
      <c r="E102" s="28">
        <f t="shared" si="41"/>
        <v>5886.8899999999994</v>
      </c>
      <c r="F102" s="17">
        <f t="shared" si="39"/>
        <v>41957.006000000001</v>
      </c>
      <c r="G102" s="17">
        <f t="shared" si="40"/>
        <v>67224.794000000009</v>
      </c>
      <c r="H102" s="17">
        <f t="shared" si="47"/>
        <v>4602.7476000000006</v>
      </c>
      <c r="I102" s="17">
        <f t="shared" si="48"/>
        <v>21181.8444552</v>
      </c>
      <c r="J102" s="19">
        <f t="shared" si="49"/>
        <v>3350.8002528000002</v>
      </c>
      <c r="K102" s="19">
        <f t="shared" si="50"/>
        <v>144204.08230800001</v>
      </c>
      <c r="L102" s="9">
        <v>779.87</v>
      </c>
      <c r="M102" s="28">
        <f t="shared" si="25"/>
        <v>109181.80000000002</v>
      </c>
      <c r="N102" s="28">
        <f t="shared" si="26"/>
        <v>115068.69</v>
      </c>
      <c r="O102" s="2">
        <v>0</v>
      </c>
      <c r="P102" s="2">
        <v>1</v>
      </c>
      <c r="Q102" s="2">
        <v>0</v>
      </c>
      <c r="R102" s="2">
        <v>0</v>
      </c>
      <c r="S102" s="2">
        <v>1</v>
      </c>
      <c r="T102" s="2">
        <v>0</v>
      </c>
      <c r="U102" s="9">
        <v>1</v>
      </c>
      <c r="V102" s="9">
        <v>145</v>
      </c>
      <c r="W102" s="9">
        <v>392.51519999999999</v>
      </c>
      <c r="X102" s="9">
        <v>57.3</v>
      </c>
      <c r="Y102" s="9">
        <f>X102/W102</f>
        <v>0.14598160784601463</v>
      </c>
      <c r="Z102" s="1">
        <v>0</v>
      </c>
      <c r="AA102" s="33">
        <v>0</v>
      </c>
      <c r="AB102" s="33">
        <v>0</v>
      </c>
      <c r="AC102" s="33">
        <v>0</v>
      </c>
      <c r="AD102" s="33">
        <v>204</v>
      </c>
      <c r="AE102" s="33">
        <v>0</v>
      </c>
      <c r="AF102" s="34">
        <v>0</v>
      </c>
      <c r="AG102" s="4">
        <v>1</v>
      </c>
      <c r="AH102" s="4">
        <v>1</v>
      </c>
      <c r="AI102" s="13">
        <v>38</v>
      </c>
      <c r="AJ102" s="16">
        <v>10</v>
      </c>
      <c r="AK102" s="13">
        <v>98</v>
      </c>
      <c r="AL102" s="16">
        <v>0</v>
      </c>
      <c r="AM102" s="16">
        <v>0</v>
      </c>
      <c r="AN102" s="36">
        <v>0</v>
      </c>
      <c r="AO102" s="1">
        <v>0</v>
      </c>
    </row>
    <row r="103" spans="1:41" ht="32.1" customHeight="1" x14ac:dyDescent="0.15">
      <c r="A103" s="9" t="s">
        <v>18</v>
      </c>
      <c r="B103" s="10" t="s">
        <v>123</v>
      </c>
      <c r="C103" s="23">
        <v>1755.9199999999998</v>
      </c>
      <c r="D103" s="23">
        <v>3793.09</v>
      </c>
      <c r="E103" s="28">
        <f t="shared" si="41"/>
        <v>5549.01</v>
      </c>
      <c r="F103" s="17">
        <f t="shared" si="39"/>
        <v>41873.616000000002</v>
      </c>
      <c r="G103" s="17">
        <f t="shared" si="40"/>
        <v>67091.184000000008</v>
      </c>
      <c r="H103" s="17">
        <f t="shared" si="47"/>
        <v>4580.5524000000005</v>
      </c>
      <c r="I103" s="17">
        <f t="shared" si="48"/>
        <v>21079.702144800001</v>
      </c>
      <c r="J103" s="19">
        <f t="shared" si="49"/>
        <v>3334.6421472000006</v>
      </c>
      <c r="K103" s="19">
        <f t="shared" si="50"/>
        <v>143508.70669200004</v>
      </c>
      <c r="L103" s="9">
        <v>778.32</v>
      </c>
      <c r="M103" s="28">
        <f t="shared" si="25"/>
        <v>108964.80000000002</v>
      </c>
      <c r="N103" s="28">
        <f t="shared" si="26"/>
        <v>114513.81000000001</v>
      </c>
      <c r="O103" s="2">
        <v>0</v>
      </c>
      <c r="P103" s="2">
        <v>1</v>
      </c>
      <c r="Q103" s="2">
        <v>0</v>
      </c>
      <c r="R103" s="2">
        <v>0</v>
      </c>
      <c r="S103" s="2">
        <v>1</v>
      </c>
      <c r="T103" s="2">
        <v>0</v>
      </c>
      <c r="U103" s="9">
        <v>1</v>
      </c>
      <c r="V103" s="9">
        <v>145</v>
      </c>
      <c r="W103" s="9">
        <v>361.11399999999998</v>
      </c>
      <c r="X103" s="9">
        <v>57.3</v>
      </c>
      <c r="Y103" s="9">
        <f>X103/W103</f>
        <v>0.1586756536716937</v>
      </c>
      <c r="Z103" s="1">
        <v>0</v>
      </c>
      <c r="AA103" s="33">
        <v>0</v>
      </c>
      <c r="AB103" s="33">
        <v>0</v>
      </c>
      <c r="AC103" s="33">
        <v>0</v>
      </c>
      <c r="AD103" s="33">
        <v>204</v>
      </c>
      <c r="AE103" s="33">
        <v>0</v>
      </c>
      <c r="AF103" s="34">
        <v>0</v>
      </c>
      <c r="AG103" s="4">
        <v>1</v>
      </c>
      <c r="AH103" s="4">
        <v>1</v>
      </c>
      <c r="AI103" s="13">
        <v>38</v>
      </c>
      <c r="AJ103" s="16">
        <v>10</v>
      </c>
      <c r="AK103" s="13">
        <v>98</v>
      </c>
      <c r="AL103" s="16">
        <v>0</v>
      </c>
      <c r="AM103" s="16">
        <v>0</v>
      </c>
      <c r="AN103" s="36">
        <v>0</v>
      </c>
      <c r="AO103" s="1">
        <v>0</v>
      </c>
    </row>
    <row r="104" spans="1:41" ht="32.1" customHeight="1" x14ac:dyDescent="0.15">
      <c r="A104" s="9" t="s">
        <v>18</v>
      </c>
      <c r="B104" s="10" t="s">
        <v>124</v>
      </c>
      <c r="C104" s="23">
        <v>2220.9</v>
      </c>
      <c r="D104" s="23">
        <v>3779.8200000000006</v>
      </c>
      <c r="E104" s="28">
        <f t="shared" si="41"/>
        <v>6000.7200000000012</v>
      </c>
      <c r="F104" s="17">
        <f t="shared" si="39"/>
        <v>40804.072</v>
      </c>
      <c r="G104" s="17">
        <f t="shared" si="40"/>
        <v>65377.528000000006</v>
      </c>
      <c r="H104" s="17">
        <f t="shared" si="47"/>
        <v>4487.2928000000002</v>
      </c>
      <c r="I104" s="17">
        <f t="shared" si="48"/>
        <v>20650.521465599999</v>
      </c>
      <c r="J104" s="19">
        <f t="shared" si="49"/>
        <v>3266.7491583999999</v>
      </c>
      <c r="K104" s="19">
        <f t="shared" si="50"/>
        <v>140586.883424</v>
      </c>
      <c r="L104" s="9">
        <v>758.44</v>
      </c>
      <c r="M104" s="28">
        <f t="shared" si="25"/>
        <v>106181.6</v>
      </c>
      <c r="N104" s="28">
        <f t="shared" si="26"/>
        <v>112182.32</v>
      </c>
      <c r="O104" s="2">
        <v>0</v>
      </c>
      <c r="P104" s="2">
        <v>1</v>
      </c>
      <c r="Q104" s="2">
        <v>0</v>
      </c>
      <c r="R104" s="2">
        <v>0</v>
      </c>
      <c r="S104" s="2">
        <v>1</v>
      </c>
      <c r="T104" s="2">
        <v>0</v>
      </c>
      <c r="U104" s="9">
        <v>1</v>
      </c>
      <c r="V104" s="9">
        <v>145</v>
      </c>
      <c r="W104" s="9">
        <v>361.11399999999998</v>
      </c>
      <c r="X104" s="9">
        <v>57.3</v>
      </c>
      <c r="Y104" s="9">
        <f>X104/W104</f>
        <v>0.1586756536716937</v>
      </c>
      <c r="Z104" s="1">
        <v>0</v>
      </c>
      <c r="AA104" s="33">
        <v>0</v>
      </c>
      <c r="AB104" s="33">
        <v>0</v>
      </c>
      <c r="AC104" s="33">
        <v>0</v>
      </c>
      <c r="AD104" s="33">
        <v>204</v>
      </c>
      <c r="AE104" s="33">
        <v>0</v>
      </c>
      <c r="AF104" s="34">
        <v>0</v>
      </c>
      <c r="AG104" s="4">
        <v>1</v>
      </c>
      <c r="AH104" s="4">
        <v>1</v>
      </c>
      <c r="AI104" s="13">
        <v>38</v>
      </c>
      <c r="AJ104" s="16">
        <v>10</v>
      </c>
      <c r="AK104" s="13">
        <v>98</v>
      </c>
      <c r="AL104" s="16">
        <v>0</v>
      </c>
      <c r="AM104" s="16">
        <v>0</v>
      </c>
      <c r="AN104" s="36">
        <v>0</v>
      </c>
      <c r="AO104" s="1">
        <v>0</v>
      </c>
    </row>
    <row r="105" spans="1:41" ht="32.1" customHeight="1" x14ac:dyDescent="0.15">
      <c r="A105" s="9" t="s">
        <v>19</v>
      </c>
      <c r="B105" s="10" t="s">
        <v>125</v>
      </c>
      <c r="C105" s="23">
        <v>2220.9</v>
      </c>
      <c r="D105" s="23">
        <v>3779.8200000000006</v>
      </c>
      <c r="E105" s="28">
        <f t="shared" si="41"/>
        <v>6000.7200000000012</v>
      </c>
      <c r="F105" s="17">
        <f t="shared" si="39"/>
        <v>37009.557999999997</v>
      </c>
      <c r="G105" s="17">
        <f t="shared" si="40"/>
        <v>59297.841999999997</v>
      </c>
      <c r="H105" s="17">
        <f t="shared" si="47"/>
        <v>4092.3247999999999</v>
      </c>
      <c r="I105" s="17">
        <f t="shared" si="48"/>
        <v>18832.878729599997</v>
      </c>
      <c r="J105" s="19">
        <f t="shared" si="49"/>
        <v>2979.2124543999998</v>
      </c>
      <c r="K105" s="19">
        <f t="shared" si="50"/>
        <v>128212.53598399999</v>
      </c>
      <c r="L105" s="9">
        <v>687.91</v>
      </c>
      <c r="M105" s="28">
        <f t="shared" si="25"/>
        <v>96307.4</v>
      </c>
      <c r="N105" s="28">
        <f t="shared" si="26"/>
        <v>102308.12</v>
      </c>
      <c r="O105" s="2">
        <v>0</v>
      </c>
      <c r="P105" s="2">
        <v>1</v>
      </c>
      <c r="Q105" s="2">
        <v>0</v>
      </c>
      <c r="R105" s="2">
        <v>0</v>
      </c>
      <c r="S105" s="2">
        <v>1</v>
      </c>
      <c r="T105" s="2">
        <v>0</v>
      </c>
      <c r="U105" s="9">
        <v>1</v>
      </c>
      <c r="V105" s="9">
        <v>145</v>
      </c>
      <c r="W105" s="9">
        <v>361.11399999999998</v>
      </c>
      <c r="X105" s="9">
        <v>57.3</v>
      </c>
      <c r="Y105" s="9">
        <f>X105/W105</f>
        <v>0.1586756536716937</v>
      </c>
      <c r="Z105" s="1">
        <v>0</v>
      </c>
      <c r="AA105" s="33">
        <v>0</v>
      </c>
      <c r="AB105" s="33">
        <v>0</v>
      </c>
      <c r="AC105" s="33">
        <v>0</v>
      </c>
      <c r="AD105" s="33">
        <v>204</v>
      </c>
      <c r="AE105" s="33">
        <v>0</v>
      </c>
      <c r="AF105" s="34">
        <v>0</v>
      </c>
      <c r="AG105" s="4">
        <v>1</v>
      </c>
      <c r="AH105" s="4">
        <v>1</v>
      </c>
      <c r="AI105" s="13">
        <v>38</v>
      </c>
      <c r="AJ105" s="16">
        <v>10</v>
      </c>
      <c r="AK105" s="13">
        <v>98</v>
      </c>
      <c r="AL105" s="16">
        <v>0</v>
      </c>
      <c r="AM105" s="16">
        <v>0</v>
      </c>
      <c r="AN105" s="36">
        <v>0</v>
      </c>
      <c r="AO105" s="1">
        <v>0</v>
      </c>
    </row>
    <row r="106" spans="1:41" ht="32.1" customHeight="1" x14ac:dyDescent="0.15">
      <c r="A106" s="9" t="s">
        <v>19</v>
      </c>
      <c r="B106" s="10" t="s">
        <v>126</v>
      </c>
      <c r="C106" s="23">
        <v>2127.6600000000003</v>
      </c>
      <c r="D106" s="23">
        <v>3590.0000000000005</v>
      </c>
      <c r="E106" s="28">
        <f t="shared" si="41"/>
        <v>5717.6600000000008</v>
      </c>
      <c r="F106" s="17">
        <f t="shared" si="39"/>
        <v>27486.957999999999</v>
      </c>
      <c r="G106" s="17">
        <f t="shared" si="40"/>
        <v>44040.442000000003</v>
      </c>
      <c r="H106" s="17">
        <f t="shared" si="47"/>
        <v>3089.8024</v>
      </c>
      <c r="I106" s="17">
        <f t="shared" si="48"/>
        <v>14219.270644799999</v>
      </c>
      <c r="J106" s="19">
        <f t="shared" si="49"/>
        <v>2249.3761472000001</v>
      </c>
      <c r="K106" s="19">
        <f t="shared" si="50"/>
        <v>96803.509191999998</v>
      </c>
      <c r="L106" s="9">
        <v>510.91</v>
      </c>
      <c r="M106" s="28">
        <f t="shared" si="25"/>
        <v>71527.399999999994</v>
      </c>
      <c r="N106" s="28">
        <f t="shared" si="26"/>
        <v>77245.06</v>
      </c>
      <c r="O106" s="2">
        <v>0</v>
      </c>
      <c r="P106" s="2">
        <v>1</v>
      </c>
      <c r="Q106" s="2">
        <v>0</v>
      </c>
      <c r="R106" s="2">
        <v>0</v>
      </c>
      <c r="S106" s="2">
        <v>1</v>
      </c>
      <c r="T106" s="2">
        <v>0</v>
      </c>
      <c r="U106" s="9">
        <v>1</v>
      </c>
      <c r="V106" s="9">
        <v>145</v>
      </c>
      <c r="W106" s="9">
        <v>361.11399999999998</v>
      </c>
      <c r="X106" s="9">
        <v>57.3</v>
      </c>
      <c r="Y106" s="9">
        <f>X106/W106</f>
        <v>0.1586756536716937</v>
      </c>
      <c r="Z106" s="1">
        <v>0</v>
      </c>
      <c r="AA106" s="33">
        <v>0</v>
      </c>
      <c r="AB106" s="33">
        <v>0</v>
      </c>
      <c r="AC106" s="33">
        <v>0</v>
      </c>
      <c r="AD106" s="33">
        <v>204</v>
      </c>
      <c r="AE106" s="33">
        <v>0</v>
      </c>
      <c r="AF106" s="34">
        <v>0</v>
      </c>
      <c r="AG106" s="4">
        <v>1</v>
      </c>
      <c r="AH106" s="4">
        <v>1</v>
      </c>
      <c r="AI106" s="13">
        <v>38</v>
      </c>
      <c r="AJ106" s="16">
        <v>10</v>
      </c>
      <c r="AK106" s="13">
        <v>98</v>
      </c>
      <c r="AL106" s="16">
        <v>0</v>
      </c>
      <c r="AM106" s="16">
        <v>0</v>
      </c>
      <c r="AN106" s="36">
        <v>0</v>
      </c>
      <c r="AO106" s="1">
        <v>0</v>
      </c>
    </row>
    <row r="107" spans="1:41" ht="32.1" customHeight="1" x14ac:dyDescent="0.15">
      <c r="A107" s="9" t="s">
        <v>19</v>
      </c>
      <c r="B107" s="10" t="s">
        <v>127</v>
      </c>
      <c r="C107" s="23">
        <v>2127.6600000000003</v>
      </c>
      <c r="D107" s="23">
        <v>3590.0000000000005</v>
      </c>
      <c r="E107" s="28">
        <f t="shared" si="41"/>
        <v>5717.6600000000008</v>
      </c>
      <c r="F107" s="17">
        <f t="shared" si="39"/>
        <v>39059.875999999997</v>
      </c>
      <c r="G107" s="17">
        <f t="shared" si="40"/>
        <v>62582.923999999999</v>
      </c>
      <c r="H107" s="17">
        <f t="shared" si="47"/>
        <v>4294.4183999999996</v>
      </c>
      <c r="I107" s="17">
        <f t="shared" si="48"/>
        <v>19762.913476799997</v>
      </c>
      <c r="J107" s="19">
        <f t="shared" si="49"/>
        <v>3126.3365951999999</v>
      </c>
      <c r="K107" s="19">
        <f t="shared" si="50"/>
        <v>134544.12847199998</v>
      </c>
      <c r="L107" s="9">
        <v>726.02</v>
      </c>
      <c r="M107" s="28">
        <f t="shared" si="25"/>
        <v>101642.79999999999</v>
      </c>
      <c r="N107" s="28">
        <f t="shared" si="26"/>
        <v>107360.45999999999</v>
      </c>
      <c r="O107" s="2">
        <v>0</v>
      </c>
      <c r="P107" s="2">
        <v>1</v>
      </c>
      <c r="Q107" s="2">
        <v>0</v>
      </c>
      <c r="R107" s="2">
        <v>0</v>
      </c>
      <c r="S107" s="2">
        <v>1</v>
      </c>
      <c r="T107" s="2">
        <v>0</v>
      </c>
      <c r="U107" s="9">
        <v>1</v>
      </c>
      <c r="V107" s="9">
        <v>145</v>
      </c>
      <c r="W107" s="9">
        <v>361.11399999999998</v>
      </c>
      <c r="X107" s="9">
        <v>28.1</v>
      </c>
      <c r="Y107" s="9">
        <f>X107/W107</f>
        <v>7.781476209728784E-2</v>
      </c>
      <c r="Z107" s="1">
        <v>0</v>
      </c>
      <c r="AA107" s="33">
        <v>0</v>
      </c>
      <c r="AB107" s="33">
        <v>0</v>
      </c>
      <c r="AC107" s="33">
        <v>0</v>
      </c>
      <c r="AD107" s="33">
        <v>204</v>
      </c>
      <c r="AE107" s="33">
        <v>0</v>
      </c>
      <c r="AF107" s="34">
        <v>0</v>
      </c>
      <c r="AG107" s="4">
        <v>1</v>
      </c>
      <c r="AH107" s="4">
        <v>1</v>
      </c>
      <c r="AI107" s="13">
        <v>38</v>
      </c>
      <c r="AJ107" s="16">
        <v>10</v>
      </c>
      <c r="AK107" s="13">
        <v>98</v>
      </c>
      <c r="AL107" s="16">
        <v>0</v>
      </c>
      <c r="AM107" s="16">
        <v>0</v>
      </c>
      <c r="AN107" s="36">
        <v>0</v>
      </c>
      <c r="AO107" s="1">
        <v>0</v>
      </c>
    </row>
    <row r="108" spans="1:41" ht="32.1" customHeight="1" x14ac:dyDescent="0.15">
      <c r="A108" s="9" t="s">
        <v>19</v>
      </c>
      <c r="B108" s="10" t="s">
        <v>128</v>
      </c>
      <c r="C108" s="23">
        <v>2739.38</v>
      </c>
      <c r="D108" s="23">
        <v>3376.4400000000005</v>
      </c>
      <c r="E108" s="28">
        <f t="shared" si="41"/>
        <v>6115.8200000000006</v>
      </c>
      <c r="F108" s="17">
        <f t="shared" si="39"/>
        <v>39742.597999999998</v>
      </c>
      <c r="G108" s="17">
        <f t="shared" si="40"/>
        <v>63676.802000000003</v>
      </c>
      <c r="H108" s="17">
        <f t="shared" si="47"/>
        <v>4381.4088000000002</v>
      </c>
      <c r="I108" s="17">
        <f t="shared" si="48"/>
        <v>20163.243297599998</v>
      </c>
      <c r="J108" s="19">
        <f t="shared" si="49"/>
        <v>3189.6656064000003</v>
      </c>
      <c r="K108" s="19">
        <f t="shared" si="50"/>
        <v>137269.53770400002</v>
      </c>
      <c r="L108" s="9">
        <v>738.71</v>
      </c>
      <c r="M108" s="28">
        <f t="shared" si="25"/>
        <v>103419.4</v>
      </c>
      <c r="N108" s="28">
        <f t="shared" si="26"/>
        <v>109535.22</v>
      </c>
      <c r="O108" s="2">
        <v>0</v>
      </c>
      <c r="P108" s="2">
        <v>1</v>
      </c>
      <c r="Q108" s="2">
        <v>0</v>
      </c>
      <c r="R108" s="2">
        <v>0</v>
      </c>
      <c r="S108" s="2">
        <v>1</v>
      </c>
      <c r="T108" s="2">
        <v>0</v>
      </c>
      <c r="U108" s="9">
        <v>1</v>
      </c>
      <c r="V108" s="9">
        <v>115</v>
      </c>
      <c r="W108" s="9">
        <v>85.334400000000002</v>
      </c>
      <c r="X108" s="9">
        <v>28.1</v>
      </c>
      <c r="Y108" s="9">
        <f>X108/W108</f>
        <v>0.32929275884051451</v>
      </c>
      <c r="Z108" s="1">
        <v>0</v>
      </c>
      <c r="AA108" s="33">
        <v>0</v>
      </c>
      <c r="AB108" s="33">
        <v>0</v>
      </c>
      <c r="AC108" s="33">
        <v>0</v>
      </c>
      <c r="AD108" s="33">
        <v>204</v>
      </c>
      <c r="AE108" s="33">
        <v>1</v>
      </c>
      <c r="AF108" s="34">
        <v>0</v>
      </c>
      <c r="AG108" s="4">
        <v>1</v>
      </c>
      <c r="AH108" s="4">
        <v>1</v>
      </c>
      <c r="AI108" s="13">
        <v>38</v>
      </c>
      <c r="AJ108" s="16">
        <v>10</v>
      </c>
      <c r="AK108" s="13">
        <v>98</v>
      </c>
      <c r="AL108" s="16">
        <v>0</v>
      </c>
      <c r="AM108" s="16">
        <v>0</v>
      </c>
      <c r="AN108" s="36">
        <v>0</v>
      </c>
      <c r="AO108" s="1">
        <v>0</v>
      </c>
    </row>
    <row r="109" spans="1:41" ht="32.1" customHeight="1" x14ac:dyDescent="0.15">
      <c r="A109" s="9" t="s">
        <v>19</v>
      </c>
      <c r="B109" s="10" t="s">
        <v>129</v>
      </c>
      <c r="C109" s="23">
        <v>2160.8900000000003</v>
      </c>
      <c r="D109" s="23">
        <v>2965.43</v>
      </c>
      <c r="E109" s="28">
        <f t="shared" si="41"/>
        <v>5126.32</v>
      </c>
      <c r="F109" s="17">
        <f t="shared" si="39"/>
        <v>19051.117999999999</v>
      </c>
      <c r="G109" s="17">
        <f t="shared" si="40"/>
        <v>30524.282000000003</v>
      </c>
      <c r="H109" s="17">
        <f t="shared" si="47"/>
        <v>2188.0688</v>
      </c>
      <c r="I109" s="17">
        <f t="shared" si="48"/>
        <v>10069.492617599999</v>
      </c>
      <c r="J109" s="19">
        <f t="shared" si="49"/>
        <v>1592.9140864000001</v>
      </c>
      <c r="K109" s="19">
        <f t="shared" si="50"/>
        <v>68552.195504000003</v>
      </c>
      <c r="L109" s="9">
        <v>354.11</v>
      </c>
      <c r="M109" s="28">
        <f t="shared" si="25"/>
        <v>49575.4</v>
      </c>
      <c r="N109" s="28">
        <f t="shared" si="26"/>
        <v>54701.72</v>
      </c>
      <c r="O109" s="2">
        <v>0</v>
      </c>
      <c r="P109" s="2">
        <v>1</v>
      </c>
      <c r="Q109" s="2">
        <v>0</v>
      </c>
      <c r="R109" s="2">
        <v>0</v>
      </c>
      <c r="S109" s="2">
        <v>1</v>
      </c>
      <c r="T109" s="2">
        <v>0</v>
      </c>
      <c r="U109" s="9">
        <v>1</v>
      </c>
      <c r="V109" s="9">
        <v>84</v>
      </c>
      <c r="W109" s="9">
        <v>84</v>
      </c>
      <c r="X109" s="9">
        <v>24.4</v>
      </c>
      <c r="Y109" s="9">
        <f>X109/W109</f>
        <v>0.29047619047619044</v>
      </c>
      <c r="Z109" s="1">
        <v>0</v>
      </c>
      <c r="AA109" s="33">
        <v>0</v>
      </c>
      <c r="AB109" s="33">
        <v>0</v>
      </c>
      <c r="AC109" s="33">
        <v>0</v>
      </c>
      <c r="AD109" s="33">
        <v>204</v>
      </c>
      <c r="AE109" s="33">
        <v>1</v>
      </c>
      <c r="AF109" s="34">
        <v>0</v>
      </c>
      <c r="AG109" s="4">
        <v>1</v>
      </c>
      <c r="AH109" s="4">
        <v>1</v>
      </c>
      <c r="AI109" s="13">
        <v>38</v>
      </c>
      <c r="AJ109" s="16">
        <v>10</v>
      </c>
      <c r="AK109" s="13">
        <v>98</v>
      </c>
      <c r="AL109" s="16">
        <v>0</v>
      </c>
      <c r="AM109" s="16">
        <v>0</v>
      </c>
      <c r="AN109" s="36">
        <v>0</v>
      </c>
      <c r="AO109" s="1">
        <v>0</v>
      </c>
    </row>
    <row r="110" spans="1:41" ht="32.1" customHeight="1" x14ac:dyDescent="0.15">
      <c r="A110" s="9" t="s">
        <v>20</v>
      </c>
      <c r="B110" s="10" t="s">
        <v>120</v>
      </c>
      <c r="C110" s="23">
        <v>36390.660000000011</v>
      </c>
      <c r="D110" s="23">
        <v>12398.749999999995</v>
      </c>
      <c r="E110" s="28">
        <f t="shared" si="41"/>
        <v>48789.41</v>
      </c>
      <c r="F110" s="17">
        <f t="shared" si="39"/>
        <v>132675.10399999999</v>
      </c>
      <c r="G110" s="17">
        <f t="shared" si="40"/>
        <v>212576.09599999999</v>
      </c>
      <c r="H110" s="17">
        <f t="shared" ref="H110" si="51">SUM(E110:G110)*0.04</f>
        <v>15761.624400000001</v>
      </c>
      <c r="I110" s="17">
        <f t="shared" ref="I110" si="52">SUM(E110:H110)*0.177</f>
        <v>72534.995488799992</v>
      </c>
      <c r="J110" s="19">
        <f t="shared" ref="J110" si="53">SUM(E110:H110)*0.028</f>
        <v>11474.462563199999</v>
      </c>
      <c r="K110" s="19">
        <f t="shared" ref="K110" si="54">SUM(E110:J110)</f>
        <v>493811.69245199993</v>
      </c>
      <c r="L110" s="9">
        <v>2466.08</v>
      </c>
      <c r="M110" s="28">
        <f t="shared" si="25"/>
        <v>345251.19999999995</v>
      </c>
      <c r="N110" s="28">
        <f t="shared" si="26"/>
        <v>394040.61</v>
      </c>
      <c r="O110" s="2">
        <v>0</v>
      </c>
      <c r="P110" s="2">
        <v>1</v>
      </c>
      <c r="Q110" s="2">
        <v>0</v>
      </c>
      <c r="R110" s="2">
        <v>0</v>
      </c>
      <c r="S110" s="2">
        <v>0</v>
      </c>
      <c r="T110" s="2">
        <v>0</v>
      </c>
      <c r="U110" s="9">
        <v>1</v>
      </c>
      <c r="V110" s="9">
        <v>160</v>
      </c>
      <c r="W110" s="9">
        <v>218.07</v>
      </c>
      <c r="X110" s="9">
        <v>24.4</v>
      </c>
      <c r="Y110" s="9">
        <f>X110/W110</f>
        <v>0.11189067730545238</v>
      </c>
      <c r="Z110" s="1">
        <v>0</v>
      </c>
      <c r="AA110" s="33">
        <v>0</v>
      </c>
      <c r="AB110" s="33">
        <v>0</v>
      </c>
      <c r="AC110" s="33">
        <v>0</v>
      </c>
      <c r="AD110" s="33">
        <v>0</v>
      </c>
      <c r="AE110" s="33">
        <v>0</v>
      </c>
      <c r="AF110" s="33">
        <v>1</v>
      </c>
      <c r="AG110" s="4">
        <v>1</v>
      </c>
      <c r="AH110" s="4">
        <v>1</v>
      </c>
      <c r="AI110" s="42">
        <v>20.8</v>
      </c>
      <c r="AJ110" s="42"/>
      <c r="AK110" s="16">
        <v>96</v>
      </c>
      <c r="AL110" s="13">
        <v>6.5</v>
      </c>
      <c r="AM110" s="13">
        <v>7.2</v>
      </c>
      <c r="AN110" s="36">
        <v>0</v>
      </c>
      <c r="AO110" s="1">
        <v>0</v>
      </c>
    </row>
  </sheetData>
  <autoFilter ref="A1:AF110" xr:uid="{00000000-0001-0000-0000-000000000000}"/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197807101</dc:creator>
  <cp:lastModifiedBy>karry wang</cp:lastModifiedBy>
  <dcterms:created xsi:type="dcterms:W3CDTF">2024-06-17T07:53:15Z</dcterms:created>
  <dcterms:modified xsi:type="dcterms:W3CDTF">2025-12-27T05:03:55Z</dcterms:modified>
</cp:coreProperties>
</file>