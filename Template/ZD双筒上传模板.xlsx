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ry\Desktop\"/>
    </mc:Choice>
  </mc:AlternateContent>
  <xr:revisionPtr revIDLastSave="0" documentId="13_ncr:1_{DEEEE026-8360-45FB-8296-5A9AB5C2AD8B}" xr6:coauthVersionLast="47" xr6:coauthVersionMax="47" xr10:uidLastSave="{00000000-0000-0000-0000-000000000000}"/>
  <bookViews>
    <workbookView xWindow="-120" yWindow="-120" windowWidth="29040" windowHeight="15720" xr2:uid="{C8571058-9327-4576-A1A3-85EFF8A9A305}"/>
  </bookViews>
  <sheets>
    <sheet name="单筒" sheetId="17" r:id="rId1"/>
    <sheet name="双筒" sheetId="18" r:id="rId2"/>
  </sheets>
  <definedNames>
    <definedName name="_xlnm._FilterDatabase" localSheetId="0" hidden="1">单筒!$B$1:$AL$45</definedName>
    <definedName name="_xlnm._FilterDatabase" localSheetId="1" hidden="1">双筒!$B$1:$AL$26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8" l="1"/>
  <c r="C26" i="18"/>
  <c r="D25" i="18"/>
  <c r="C25" i="18"/>
  <c r="D24" i="18"/>
  <c r="C24" i="18"/>
  <c r="D23" i="18"/>
  <c r="C23" i="18"/>
  <c r="D22" i="18"/>
  <c r="C22" i="18"/>
  <c r="D21" i="18"/>
  <c r="C21" i="18"/>
  <c r="D20" i="18"/>
  <c r="C20" i="18"/>
  <c r="J20" i="18" s="1"/>
  <c r="D19" i="18"/>
  <c r="C19" i="18"/>
  <c r="E19" i="18" s="1"/>
  <c r="AH18" i="18"/>
  <c r="AG18" i="18"/>
  <c r="D18" i="18"/>
  <c r="C18" i="18"/>
  <c r="AH17" i="18"/>
  <c r="AG17" i="18"/>
  <c r="D17" i="18"/>
  <c r="C17" i="18"/>
  <c r="AH16" i="18"/>
  <c r="AG16" i="18"/>
  <c r="D16" i="18"/>
  <c r="C16" i="18"/>
  <c r="AH15" i="18"/>
  <c r="AG15" i="18"/>
  <c r="D15" i="18"/>
  <c r="C15" i="18"/>
  <c r="AH14" i="18"/>
  <c r="AG14" i="18"/>
  <c r="D14" i="18"/>
  <c r="C14" i="18"/>
  <c r="AH13" i="18"/>
  <c r="AG13" i="18"/>
  <c r="D13" i="18"/>
  <c r="C13" i="18"/>
  <c r="D12" i="18"/>
  <c r="C12" i="18"/>
  <c r="K12" i="18" s="1"/>
  <c r="D11" i="18"/>
  <c r="C11" i="18"/>
  <c r="D10" i="18"/>
  <c r="C10" i="18"/>
  <c r="J10" i="18" s="1"/>
  <c r="D9" i="18"/>
  <c r="C9" i="18"/>
  <c r="D8" i="18"/>
  <c r="C8" i="18"/>
  <c r="D7" i="18"/>
  <c r="C7" i="18"/>
  <c r="AH6" i="18"/>
  <c r="AG6" i="18"/>
  <c r="D6" i="18"/>
  <c r="C6" i="18"/>
  <c r="AH5" i="18"/>
  <c r="AG5" i="18"/>
  <c r="D5" i="18"/>
  <c r="C5" i="18"/>
  <c r="D4" i="18"/>
  <c r="C4" i="18"/>
  <c r="E4" i="18" s="1"/>
  <c r="D3" i="18"/>
  <c r="C3" i="18"/>
  <c r="D2" i="18"/>
  <c r="C2" i="18"/>
  <c r="E24" i="18" l="1"/>
  <c r="K22" i="18"/>
  <c r="K7" i="18"/>
  <c r="E15" i="18"/>
  <c r="J21" i="18"/>
  <c r="J3" i="18"/>
  <c r="J11" i="18"/>
  <c r="E17" i="18"/>
  <c r="F17" i="18" s="1"/>
  <c r="E16" i="18"/>
  <c r="G16" i="18" s="1"/>
  <c r="K23" i="18"/>
  <c r="J26" i="18"/>
  <c r="E25" i="18"/>
  <c r="G25" i="18" s="1"/>
  <c r="K15" i="18"/>
  <c r="K3" i="18"/>
  <c r="K19" i="18"/>
  <c r="K5" i="18"/>
  <c r="E13" i="18"/>
  <c r="F13" i="18" s="1"/>
  <c r="K8" i="18"/>
  <c r="E18" i="18"/>
  <c r="F18" i="18" s="1"/>
  <c r="K10" i="18"/>
  <c r="E20" i="18"/>
  <c r="F20" i="18" s="1"/>
  <c r="K21" i="18"/>
  <c r="E8" i="18"/>
  <c r="F8" i="18" s="1"/>
  <c r="K24" i="18"/>
  <c r="J8" i="18"/>
  <c r="J13" i="18"/>
  <c r="K17" i="18"/>
  <c r="J24" i="18"/>
  <c r="J17" i="18"/>
  <c r="K13" i="18"/>
  <c r="J15" i="18"/>
  <c r="J19" i="18"/>
  <c r="K26" i="18"/>
  <c r="F24" i="18"/>
  <c r="G24" i="18"/>
  <c r="F15" i="18"/>
  <c r="G15" i="18"/>
  <c r="H15" i="18"/>
  <c r="F19" i="18"/>
  <c r="G19" i="18"/>
  <c r="H19" i="18" s="1"/>
  <c r="F4" i="18"/>
  <c r="J6" i="18"/>
  <c r="G4" i="18"/>
  <c r="K6" i="18"/>
  <c r="K4" i="18"/>
  <c r="J2" i="18"/>
  <c r="E7" i="18"/>
  <c r="F7" i="18" s="1"/>
  <c r="E12" i="18"/>
  <c r="G12" i="18" s="1"/>
  <c r="J25" i="18"/>
  <c r="K20" i="18"/>
  <c r="J14" i="18"/>
  <c r="J18" i="18"/>
  <c r="K14" i="18"/>
  <c r="K18" i="18"/>
  <c r="E3" i="18"/>
  <c r="J5" i="18"/>
  <c r="J7" i="18"/>
  <c r="E10" i="18"/>
  <c r="J12" i="18"/>
  <c r="E21" i="18"/>
  <c r="J23" i="18"/>
  <c r="E26" i="18"/>
  <c r="G26" i="18" s="1"/>
  <c r="J4" i="18"/>
  <c r="K11" i="18"/>
  <c r="E14" i="18"/>
  <c r="F14" i="18" s="1"/>
  <c r="E5" i="18"/>
  <c r="F5" i="18" s="1"/>
  <c r="J9" i="18"/>
  <c r="E23" i="18"/>
  <c r="G23" i="18" s="1"/>
  <c r="K2" i="18"/>
  <c r="K9" i="18"/>
  <c r="K25" i="18"/>
  <c r="J16" i="18"/>
  <c r="K16" i="18"/>
  <c r="E6" i="18"/>
  <c r="G6" i="18" s="1"/>
  <c r="E11" i="18"/>
  <c r="G11" i="18" s="1"/>
  <c r="F11" i="18"/>
  <c r="E2" i="18"/>
  <c r="F2" i="18" s="1"/>
  <c r="E9" i="18"/>
  <c r="F9" i="18" s="1"/>
  <c r="J22" i="18"/>
  <c r="F25" i="18"/>
  <c r="E22" i="18"/>
  <c r="F22" i="18" s="1"/>
  <c r="G20" i="18" l="1"/>
  <c r="G17" i="18"/>
  <c r="F16" i="18"/>
  <c r="H16" i="18" s="1"/>
  <c r="H17" i="18"/>
  <c r="G14" i="18"/>
  <c r="H14" i="18"/>
  <c r="G22" i="18"/>
  <c r="H22" i="18" s="1"/>
  <c r="H20" i="18"/>
  <c r="G18" i="18"/>
  <c r="H18" i="18" s="1"/>
  <c r="H24" i="18"/>
  <c r="G13" i="18"/>
  <c r="H13" i="18" s="1"/>
  <c r="G8" i="18"/>
  <c r="H8" i="18" s="1"/>
  <c r="H4" i="18"/>
  <c r="F26" i="18"/>
  <c r="H26" i="18" s="1"/>
  <c r="H25" i="18"/>
  <c r="H11" i="18"/>
  <c r="G10" i="18"/>
  <c r="G2" i="18"/>
  <c r="H2" i="18" s="1"/>
  <c r="G21" i="18"/>
  <c r="G9" i="18"/>
  <c r="H9" i="18" s="1"/>
  <c r="G7" i="18"/>
  <c r="H7" i="18" s="1"/>
  <c r="G3" i="18"/>
  <c r="F21" i="18"/>
  <c r="F10" i="18"/>
  <c r="G5" i="18"/>
  <c r="H5" i="18" s="1"/>
  <c r="F23" i="18"/>
  <c r="H23" i="18" s="1"/>
  <c r="F6" i="18"/>
  <c r="H6" i="18" s="1"/>
  <c r="F12" i="18"/>
  <c r="H12" i="18" s="1"/>
  <c r="F3" i="18"/>
  <c r="H21" i="18" l="1"/>
  <c r="H3" i="18"/>
  <c r="H10" i="18"/>
  <c r="D45" i="17"/>
  <c r="C45" i="17"/>
  <c r="D44" i="17"/>
  <c r="C44" i="17"/>
  <c r="D43" i="17"/>
  <c r="C43" i="17"/>
  <c r="D42" i="17"/>
  <c r="C42" i="17"/>
  <c r="D41" i="17"/>
  <c r="C41" i="17"/>
  <c r="D40" i="17"/>
  <c r="C40" i="17"/>
  <c r="AI39" i="17"/>
  <c r="D39" i="17"/>
  <c r="C39" i="17"/>
  <c r="D38" i="17"/>
  <c r="C38" i="17"/>
  <c r="D37" i="17"/>
  <c r="C37" i="17"/>
  <c r="AI36" i="17"/>
  <c r="D36" i="17"/>
  <c r="C36" i="17"/>
  <c r="AI35" i="17"/>
  <c r="D35" i="17"/>
  <c r="C35" i="17"/>
  <c r="AI34" i="17"/>
  <c r="D34" i="17"/>
  <c r="C34" i="17"/>
  <c r="D33" i="17"/>
  <c r="C33" i="17"/>
  <c r="D32" i="17"/>
  <c r="C32" i="17"/>
  <c r="D31" i="17"/>
  <c r="C31" i="17"/>
  <c r="AI30" i="17"/>
  <c r="D30" i="17"/>
  <c r="C30" i="17"/>
  <c r="D29" i="17"/>
  <c r="C29" i="17"/>
  <c r="D28" i="17"/>
  <c r="C28" i="17"/>
  <c r="AI27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AI19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D6" i="17"/>
  <c r="C6" i="17"/>
  <c r="D5" i="17"/>
  <c r="C5" i="17"/>
  <c r="D4" i="17"/>
  <c r="C4" i="17"/>
  <c r="D3" i="17"/>
  <c r="C3" i="17"/>
  <c r="D2" i="17"/>
  <c r="C2" i="17"/>
  <c r="K5" i="17" l="1"/>
  <c r="K7" i="17"/>
  <c r="K26" i="17"/>
  <c r="K28" i="17"/>
  <c r="K29" i="17"/>
  <c r="K44" i="17"/>
  <c r="K3" i="17"/>
  <c r="K23" i="17"/>
  <c r="K14" i="17"/>
  <c r="J13" i="17"/>
  <c r="E35" i="17"/>
  <c r="F35" i="17" s="1"/>
  <c r="K45" i="17"/>
  <c r="K34" i="17"/>
  <c r="K41" i="17"/>
  <c r="J21" i="17"/>
  <c r="J17" i="17"/>
  <c r="K31" i="17"/>
  <c r="K16" i="17"/>
  <c r="K25" i="17"/>
  <c r="K15" i="17"/>
  <c r="K18" i="17"/>
  <c r="K27" i="17"/>
  <c r="K9" i="17"/>
  <c r="J10" i="17"/>
  <c r="K11" i="17"/>
  <c r="J20" i="17"/>
  <c r="K13" i="17"/>
  <c r="J15" i="17"/>
  <c r="K33" i="17"/>
  <c r="K40" i="17"/>
  <c r="K4" i="17"/>
  <c r="K42" i="17"/>
  <c r="K30" i="17"/>
  <c r="J12" i="17"/>
  <c r="J6" i="17"/>
  <c r="J32" i="17"/>
  <c r="J41" i="17"/>
  <c r="E9" i="17"/>
  <c r="F9" i="17" s="1"/>
  <c r="J27" i="17"/>
  <c r="K43" i="17"/>
  <c r="J4" i="17"/>
  <c r="K36" i="17"/>
  <c r="E33" i="17"/>
  <c r="G33" i="17" s="1"/>
  <c r="E18" i="17"/>
  <c r="F18" i="17" s="1"/>
  <c r="K37" i="17"/>
  <c r="K10" i="17"/>
  <c r="J23" i="17"/>
  <c r="K17" i="17"/>
  <c r="K6" i="17"/>
  <c r="E37" i="17"/>
  <c r="G37" i="17" s="1"/>
  <c r="J37" i="17"/>
  <c r="K12" i="17"/>
  <c r="J8" i="17"/>
  <c r="J33" i="17"/>
  <c r="K38" i="17"/>
  <c r="K32" i="17"/>
  <c r="J18" i="17"/>
  <c r="K2" i="17"/>
  <c r="K8" i="17"/>
  <c r="E13" i="17"/>
  <c r="F13" i="17" s="1"/>
  <c r="E38" i="17"/>
  <c r="K19" i="17"/>
  <c r="K20" i="17"/>
  <c r="K24" i="17"/>
  <c r="K39" i="17"/>
  <c r="E43" i="17"/>
  <c r="G43" i="17" s="1"/>
  <c r="J43" i="17"/>
  <c r="J9" i="17"/>
  <c r="K21" i="17"/>
  <c r="J25" i="17"/>
  <c r="E4" i="17"/>
  <c r="G4" i="17" s="1"/>
  <c r="E21" i="17"/>
  <c r="G21" i="17" s="1"/>
  <c r="E29" i="17"/>
  <c r="F29" i="17" s="1"/>
  <c r="J35" i="17"/>
  <c r="J30" i="17"/>
  <c r="K35" i="17"/>
  <c r="K22" i="17"/>
  <c r="J29" i="17"/>
  <c r="E41" i="17"/>
  <c r="G41" i="17" s="1"/>
  <c r="E2" i="17"/>
  <c r="F2" i="17" s="1"/>
  <c r="E7" i="17"/>
  <c r="F7" i="17" s="1"/>
  <c r="E11" i="17"/>
  <c r="F11" i="17" s="1"/>
  <c r="E16" i="17"/>
  <c r="F16" i="17" s="1"/>
  <c r="E31" i="17"/>
  <c r="F31" i="17" s="1"/>
  <c r="E26" i="17"/>
  <c r="G26" i="17" s="1"/>
  <c r="E44" i="17"/>
  <c r="G44" i="17" s="1"/>
  <c r="E28" i="17"/>
  <c r="F28" i="17" s="1"/>
  <c r="E36" i="17"/>
  <c r="F36" i="17" s="1"/>
  <c r="J2" i="17"/>
  <c r="E5" i="17"/>
  <c r="F5" i="17" s="1"/>
  <c r="J7" i="17"/>
  <c r="J11" i="17"/>
  <c r="E14" i="17"/>
  <c r="F14" i="17" s="1"/>
  <c r="J16" i="17"/>
  <c r="E19" i="17"/>
  <c r="F19" i="17" s="1"/>
  <c r="J31" i="17"/>
  <c r="E34" i="17"/>
  <c r="G34" i="17" s="1"/>
  <c r="E22" i="17"/>
  <c r="G22" i="17" s="1"/>
  <c r="J38" i="17"/>
  <c r="E24" i="17"/>
  <c r="F24" i="17" s="1"/>
  <c r="J26" i="17"/>
  <c r="E40" i="17"/>
  <c r="F40" i="17" s="1"/>
  <c r="E42" i="17"/>
  <c r="F42" i="17" s="1"/>
  <c r="J44" i="17"/>
  <c r="J28" i="17"/>
  <c r="J36" i="17"/>
  <c r="E3" i="17"/>
  <c r="G3" i="17" s="1"/>
  <c r="J5" i="17"/>
  <c r="E8" i="17"/>
  <c r="G8" i="17" s="1"/>
  <c r="E12" i="17"/>
  <c r="F12" i="17" s="1"/>
  <c r="J14" i="17"/>
  <c r="E17" i="17"/>
  <c r="G17" i="17" s="1"/>
  <c r="J19" i="17"/>
  <c r="E32" i="17"/>
  <c r="F32" i="17" s="1"/>
  <c r="J34" i="17"/>
  <c r="E20" i="17"/>
  <c r="J22" i="17"/>
  <c r="E39" i="17"/>
  <c r="F39" i="17" s="1"/>
  <c r="J24" i="17"/>
  <c r="J40" i="17"/>
  <c r="J42" i="17"/>
  <c r="E45" i="17"/>
  <c r="G45" i="17" s="1"/>
  <c r="E30" i="17"/>
  <c r="G30" i="17" s="1"/>
  <c r="J3" i="17"/>
  <c r="E6" i="17"/>
  <c r="F6" i="17" s="1"/>
  <c r="E10" i="17"/>
  <c r="F10" i="17" s="1"/>
  <c r="E15" i="17"/>
  <c r="F15" i="17" s="1"/>
  <c r="J39" i="17"/>
  <c r="E23" i="17"/>
  <c r="F23" i="17" s="1"/>
  <c r="E25" i="17"/>
  <c r="F25" i="17" s="1"/>
  <c r="E27" i="17"/>
  <c r="F27" i="17" s="1"/>
  <c r="J45" i="17"/>
  <c r="G35" i="17" l="1"/>
  <c r="H35" i="17" s="1"/>
  <c r="F33" i="17"/>
  <c r="H33" i="17" s="1"/>
  <c r="F26" i="17"/>
  <c r="H26" i="17" s="1"/>
  <c r="G39" i="17"/>
  <c r="H39" i="17" s="1"/>
  <c r="F45" i="17"/>
  <c r="H45" i="17" s="1"/>
  <c r="G9" i="17"/>
  <c r="H9" i="17" s="1"/>
  <c r="G13" i="17"/>
  <c r="H13" i="17" s="1"/>
  <c r="G29" i="17"/>
  <c r="H29" i="17" s="1"/>
  <c r="G40" i="17"/>
  <c r="H40" i="17" s="1"/>
  <c r="G18" i="17"/>
  <c r="H18" i="17" s="1"/>
  <c r="G32" i="17"/>
  <c r="H32" i="17" s="1"/>
  <c r="F4" i="17"/>
  <c r="H4" i="17" s="1"/>
  <c r="F22" i="17"/>
  <c r="H22" i="17" s="1"/>
  <c r="F21" i="17"/>
  <c r="H21" i="17" s="1"/>
  <c r="G28" i="17"/>
  <c r="H28" i="17" s="1"/>
  <c r="F41" i="17"/>
  <c r="H41" i="17" s="1"/>
  <c r="F43" i="17"/>
  <c r="H43" i="17" s="1"/>
  <c r="F38" i="17"/>
  <c r="G6" i="17"/>
  <c r="H6" i="17" s="1"/>
  <c r="G38" i="17"/>
  <c r="G15" i="17"/>
  <c r="H15" i="17" s="1"/>
  <c r="G10" i="17"/>
  <c r="H10" i="17" s="1"/>
  <c r="F17" i="17"/>
  <c r="H17" i="17" s="1"/>
  <c r="G42" i="17"/>
  <c r="G16" i="17"/>
  <c r="H16" i="17"/>
  <c r="F37" i="17"/>
  <c r="H37" i="17" s="1"/>
  <c r="G19" i="17"/>
  <c r="H19" i="17" s="1"/>
  <c r="G7" i="17"/>
  <c r="H7" i="17" s="1"/>
  <c r="G14" i="17"/>
  <c r="H14" i="17" s="1"/>
  <c r="G2" i="17"/>
  <c r="H2" i="17" s="1"/>
  <c r="F20" i="17"/>
  <c r="F8" i="17"/>
  <c r="H8" i="17" s="1"/>
  <c r="F30" i="17"/>
  <c r="H30" i="17" s="1"/>
  <c r="F3" i="17"/>
  <c r="H3" i="17" s="1"/>
  <c r="G5" i="17"/>
  <c r="H5" i="17" s="1"/>
  <c r="F44" i="17"/>
  <c r="H44" i="17" s="1"/>
  <c r="G20" i="17"/>
  <c r="G11" i="17"/>
  <c r="H11" i="17" s="1"/>
  <c r="G36" i="17"/>
  <c r="H36" i="17" s="1"/>
  <c r="G31" i="17"/>
  <c r="H31" i="17" s="1"/>
  <c r="G12" i="17"/>
  <c r="H12" i="17" s="1"/>
  <c r="G27" i="17"/>
  <c r="H27" i="17" s="1"/>
  <c r="H42" i="17"/>
  <c r="F34" i="17"/>
  <c r="H34" i="17" s="1"/>
  <c r="G25" i="17"/>
  <c r="H25" i="17" s="1"/>
  <c r="G24" i="17"/>
  <c r="H24" i="17" s="1"/>
  <c r="G23" i="17"/>
  <c r="H23" i="17" s="1"/>
  <c r="H38" i="17" l="1"/>
  <c r="H20" i="17"/>
</calcChain>
</file>

<file path=xl/sharedStrings.xml><?xml version="1.0" encoding="utf-8"?>
<sst xmlns="http://schemas.openxmlformats.org/spreadsheetml/2006/main" count="423" uniqueCount="126">
  <si>
    <t>直接材料</t>
  </si>
  <si>
    <t>直接人工</t>
  </si>
  <si>
    <t>制造费用</t>
  </si>
  <si>
    <t>专项费用</t>
  </si>
  <si>
    <t>管理费用</t>
  </si>
  <si>
    <t>财务费用</t>
  </si>
  <si>
    <t>XHFK</t>
    <phoneticPr fontId="3" type="noConversion"/>
  </si>
  <si>
    <t>XHFS</t>
    <phoneticPr fontId="3" type="noConversion"/>
  </si>
  <si>
    <t>XHYD</t>
    <phoneticPr fontId="3" type="noConversion"/>
  </si>
  <si>
    <t>GNFZ</t>
    <phoneticPr fontId="3" type="noConversion"/>
  </si>
  <si>
    <t>ZL</t>
    <phoneticPr fontId="3" type="noConversion"/>
  </si>
  <si>
    <t>ZD-393</t>
    <phoneticPr fontId="3" type="noConversion"/>
  </si>
  <si>
    <t>无</t>
  </si>
  <si>
    <t>有</t>
  </si>
  <si>
    <t>电压</t>
  </si>
  <si>
    <t>ZD-394</t>
  </si>
  <si>
    <t>ZD-395</t>
  </si>
  <si>
    <t>ZD-432</t>
    <phoneticPr fontId="3" type="noConversion"/>
  </si>
  <si>
    <t>√</t>
  </si>
  <si>
    <t>到位反馈</t>
  </si>
  <si>
    <t>接近开关</t>
  </si>
  <si>
    <t>/</t>
  </si>
  <si>
    <t>节流阀</t>
  </si>
  <si>
    <t>ZD-433</t>
  </si>
  <si>
    <t>ZD-390</t>
    <phoneticPr fontId="3" type="noConversion"/>
  </si>
  <si>
    <t>梭阀</t>
  </si>
  <si>
    <t>ZD-391</t>
  </si>
  <si>
    <t>ZD-424</t>
    <phoneticPr fontId="3" type="noConversion"/>
  </si>
  <si>
    <t>ZD-447</t>
    <phoneticPr fontId="3" type="noConversion"/>
  </si>
  <si>
    <t>单向节流阀</t>
  </si>
  <si>
    <t>ZD-452</t>
    <phoneticPr fontId="3" type="noConversion"/>
  </si>
  <si>
    <t>行程开关</t>
  </si>
  <si>
    <t>ZD-444</t>
    <phoneticPr fontId="3" type="noConversion"/>
  </si>
  <si>
    <t>ZD-444A</t>
    <phoneticPr fontId="3" type="noConversion"/>
  </si>
  <si>
    <t>ZD-445</t>
    <phoneticPr fontId="3" type="noConversion"/>
  </si>
  <si>
    <t>ZD-446</t>
    <phoneticPr fontId="3" type="noConversion"/>
  </si>
  <si>
    <t>ZD-491</t>
    <phoneticPr fontId="3" type="noConversion"/>
  </si>
  <si>
    <t>ZD-492</t>
    <phoneticPr fontId="3" type="noConversion"/>
  </si>
  <si>
    <t>ZD-496</t>
    <phoneticPr fontId="3" type="noConversion"/>
  </si>
  <si>
    <t>单向节流阀</t>
    <phoneticPr fontId="3" type="noConversion"/>
  </si>
  <si>
    <t>ZD-469</t>
    <phoneticPr fontId="3" type="noConversion"/>
  </si>
  <si>
    <t>ZD-469A</t>
    <phoneticPr fontId="3" type="noConversion"/>
  </si>
  <si>
    <t>ZD-472</t>
    <phoneticPr fontId="3" type="noConversion"/>
  </si>
  <si>
    <t>ZD-472A</t>
    <phoneticPr fontId="3" type="noConversion"/>
  </si>
  <si>
    <t>ZD-468</t>
    <phoneticPr fontId="3" type="noConversion"/>
  </si>
  <si>
    <t>ZD-470</t>
    <phoneticPr fontId="3" type="noConversion"/>
  </si>
  <si>
    <t>ZD-493</t>
    <phoneticPr fontId="3" type="noConversion"/>
  </si>
  <si>
    <t>ZD-514</t>
    <phoneticPr fontId="3" type="noConversion"/>
  </si>
  <si>
    <t>ZD-474</t>
    <phoneticPr fontId="3" type="noConversion"/>
  </si>
  <si>
    <t>ZD-475</t>
  </si>
  <si>
    <t>ZD-475A</t>
    <phoneticPr fontId="3" type="noConversion"/>
  </si>
  <si>
    <t>ZD-476</t>
    <phoneticPr fontId="3" type="noConversion"/>
  </si>
  <si>
    <t>ZD-482</t>
    <phoneticPr fontId="3" type="noConversion"/>
  </si>
  <si>
    <t>ZD-483</t>
    <phoneticPr fontId="3" type="noConversion"/>
  </si>
  <si>
    <t>ZD-481</t>
    <phoneticPr fontId="3" type="noConversion"/>
  </si>
  <si>
    <t>ZD-480</t>
    <phoneticPr fontId="3" type="noConversion"/>
  </si>
  <si>
    <t>ZD-494</t>
    <phoneticPr fontId="3" type="noConversion"/>
  </si>
  <si>
    <t>ZD-495</t>
  </si>
  <si>
    <t>ZD-51</t>
    <phoneticPr fontId="3" type="noConversion"/>
  </si>
  <si>
    <t>ZD-52</t>
  </si>
  <si>
    <t>ZD-53</t>
  </si>
  <si>
    <t>ZD-54</t>
  </si>
  <si>
    <t>ZD-50</t>
    <phoneticPr fontId="3" type="noConversion"/>
  </si>
  <si>
    <t>ZD-55</t>
    <phoneticPr fontId="3" type="noConversion"/>
  </si>
  <si>
    <t>ZD-56</t>
  </si>
  <si>
    <t>ZD-57</t>
  </si>
  <si>
    <t>ZD-58</t>
  </si>
  <si>
    <t>ZD-19</t>
    <phoneticPr fontId="3" type="noConversion"/>
  </si>
  <si>
    <t>ZD-20</t>
  </si>
  <si>
    <t>ZD-21</t>
  </si>
  <si>
    <t>ZD-22</t>
  </si>
  <si>
    <t>ZD-23</t>
  </si>
  <si>
    <t>ZD-24</t>
  </si>
  <si>
    <t>位置反馈</t>
  </si>
  <si>
    <t>LVDT</t>
  </si>
  <si>
    <t>ZD-25</t>
  </si>
  <si>
    <t>ZD-25A</t>
    <phoneticPr fontId="3" type="noConversion"/>
  </si>
  <si>
    <t>ZD-26</t>
    <phoneticPr fontId="3" type="noConversion"/>
  </si>
  <si>
    <t>ZD-27</t>
  </si>
  <si>
    <t>主机二配件</t>
  </si>
  <si>
    <t>ZD-28</t>
  </si>
  <si>
    <t>ZD-29</t>
  </si>
  <si>
    <t>ZD-30</t>
  </si>
  <si>
    <t>ZD-249</t>
    <phoneticPr fontId="3" type="noConversion"/>
  </si>
  <si>
    <t>ZD-102</t>
    <phoneticPr fontId="3" type="noConversion"/>
  </si>
  <si>
    <t>ZD-103</t>
  </si>
  <si>
    <t>ZD-155</t>
    <phoneticPr fontId="3" type="noConversion"/>
  </si>
  <si>
    <t>ZD-336</t>
    <phoneticPr fontId="3" type="noConversion"/>
  </si>
  <si>
    <t>ZD-337</t>
    <phoneticPr fontId="3" type="noConversion"/>
  </si>
  <si>
    <t>ZD-338</t>
    <phoneticPr fontId="3" type="noConversion"/>
  </si>
  <si>
    <t>ZD-338A</t>
    <phoneticPr fontId="3" type="noConversion"/>
  </si>
  <si>
    <t>ZD-334</t>
    <phoneticPr fontId="3" type="noConversion"/>
  </si>
  <si>
    <t>ZD-335</t>
    <phoneticPr fontId="3" type="noConversion"/>
  </si>
  <si>
    <t>ZD-350</t>
    <phoneticPr fontId="3" type="noConversion"/>
  </si>
  <si>
    <t>ZD-351</t>
  </si>
  <si>
    <t>单筒</t>
    <phoneticPr fontId="1" type="noConversion"/>
  </si>
  <si>
    <t>双筒</t>
    <phoneticPr fontId="1" type="noConversion"/>
  </si>
  <si>
    <t>类型</t>
    <phoneticPr fontId="1" type="noConversion"/>
  </si>
  <si>
    <t>DW</t>
    <phoneticPr fontId="1" type="noConversion"/>
  </si>
  <si>
    <t>XHFK-到位反馈</t>
    <phoneticPr fontId="1" type="noConversion"/>
  </si>
  <si>
    <t>XHFK-位置反馈</t>
    <phoneticPr fontId="1" type="noConversion"/>
  </si>
  <si>
    <t>XHFS-LVDT</t>
    <phoneticPr fontId="1" type="noConversion"/>
  </si>
  <si>
    <t>XHFS-主机二配件</t>
    <phoneticPr fontId="1" type="noConversion"/>
  </si>
  <si>
    <t>XHFS-电压</t>
    <phoneticPr fontId="1" type="noConversion"/>
  </si>
  <si>
    <t>XHFS-接近开关</t>
    <phoneticPr fontId="1" type="noConversion"/>
  </si>
  <si>
    <t>XHFS-行程开关</t>
    <phoneticPr fontId="1" type="noConversion"/>
  </si>
  <si>
    <t>HZ</t>
    <phoneticPr fontId="1" type="noConversion"/>
  </si>
  <si>
    <t>YJGN</t>
    <phoneticPr fontId="1" type="noConversion"/>
  </si>
  <si>
    <t>GNFZ-单向节流阀</t>
    <phoneticPr fontId="3" type="noConversion"/>
  </si>
  <si>
    <t>GNFZ-节流阀</t>
    <phoneticPr fontId="3" type="noConversion"/>
  </si>
  <si>
    <t>GNFZ-梭阀</t>
    <phoneticPr fontId="3" type="noConversion"/>
  </si>
  <si>
    <t>JYYL</t>
    <phoneticPr fontId="1" type="noConversion"/>
  </si>
  <si>
    <t>MF-内漏量</t>
    <phoneticPr fontId="1" type="noConversion"/>
  </si>
  <si>
    <t>XC</t>
    <phoneticPr fontId="1" type="noConversion"/>
  </si>
  <si>
    <t xml:space="preserve">82
</t>
    <phoneticPr fontId="3" type="noConversion"/>
  </si>
  <si>
    <t>SCL-收回力/拉载均值</t>
    <phoneticPr fontId="1" type="noConversion"/>
  </si>
  <si>
    <t xml:space="preserve">7000
</t>
    <phoneticPr fontId="3" type="noConversion"/>
  </si>
  <si>
    <t>SM-总寿命(FH)</t>
    <phoneticPr fontId="1" type="noConversion"/>
  </si>
  <si>
    <t>SM-总寿命(起落)</t>
    <phoneticPr fontId="1" type="noConversion"/>
  </si>
  <si>
    <t>SM-总寿命(拦阻)</t>
    <phoneticPr fontId="1" type="noConversion"/>
  </si>
  <si>
    <t>标准成本</t>
    <phoneticPr fontId="3" type="noConversion"/>
  </si>
  <si>
    <t>现行工时</t>
    <phoneticPr fontId="3" type="noConversion"/>
  </si>
  <si>
    <t>直接人工+制造费用</t>
    <phoneticPr fontId="1" type="noConversion"/>
  </si>
  <si>
    <t>总成本</t>
    <phoneticPr fontId="1" type="noConversion"/>
  </si>
  <si>
    <t>SCL-伸出力/压载均值</t>
    <phoneticPr fontId="3" type="noConversion"/>
  </si>
  <si>
    <t>产品名称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</si>
</sst>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0.5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sz val="9"/>
      <color theme="1"/>
      <name val="微软雅黑"/>
      <family val="2"/>
      <charset val="134"/>
    </font>
    <font>
      <sz val="8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 wrapText="1"/>
    </xf>
    <xf numFmtId="43" fontId="9" fillId="0" borderId="1" xfId="3" applyFont="1" applyBorder="1">
      <alignment vertical="center"/>
    </xf>
    <xf numFmtId="0" fontId="10" fillId="0" borderId="1" xfId="5" applyFont="1" applyBorder="1" applyAlignment="1">
      <alignment horizontal="left" vertical="center" wrapText="1"/>
    </xf>
    <xf numFmtId="0" fontId="10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vertical="center" wrapText="1"/>
    </xf>
    <xf numFmtId="0" fontId="10" fillId="0" borderId="1" xfId="6" applyFont="1" applyBorder="1" applyAlignment="1">
      <alignment horizontal="left" vertical="center" wrapText="1"/>
    </xf>
    <xf numFmtId="0" fontId="10" fillId="0" borderId="1" xfId="6" applyFont="1" applyBorder="1" applyAlignment="1">
      <alignment horizontal="center" vertical="center" wrapText="1"/>
    </xf>
    <xf numFmtId="0" fontId="10" fillId="0" borderId="1" xfId="6" applyFont="1" applyBorder="1" applyAlignment="1">
      <alignment vertical="center" wrapText="1"/>
    </xf>
    <xf numFmtId="0" fontId="10" fillId="0" borderId="1" xfId="7" applyFont="1" applyBorder="1" applyAlignment="1">
      <alignment vertical="center" wrapText="1"/>
    </xf>
    <xf numFmtId="0" fontId="10" fillId="0" borderId="1" xfId="7" applyFont="1" applyBorder="1" applyAlignment="1">
      <alignment horizontal="center" vertical="center" wrapText="1"/>
    </xf>
    <xf numFmtId="0" fontId="10" fillId="0" borderId="1" xfId="8" applyFont="1" applyBorder="1" applyAlignment="1">
      <alignment horizontal="left" vertical="center" wrapText="1"/>
    </xf>
    <xf numFmtId="0" fontId="10" fillId="0" borderId="1" xfId="8" applyFont="1" applyBorder="1" applyAlignment="1">
      <alignment horizontal="center" vertical="center" wrapText="1"/>
    </xf>
    <xf numFmtId="0" fontId="10" fillId="0" borderId="1" xfId="8" applyFont="1" applyBorder="1" applyAlignment="1">
      <alignment vertical="center" wrapText="1"/>
    </xf>
    <xf numFmtId="0" fontId="10" fillId="0" borderId="1" xfId="9" applyFont="1" applyBorder="1" applyAlignment="1">
      <alignment horizontal="left" vertical="center" wrapText="1"/>
    </xf>
    <xf numFmtId="0" fontId="10" fillId="0" borderId="1" xfId="9" applyFont="1" applyBorder="1" applyAlignment="1">
      <alignment horizontal="center" vertical="center" wrapText="1"/>
    </xf>
    <xf numFmtId="0" fontId="10" fillId="0" borderId="1" xfId="9" applyFont="1" applyBorder="1" applyAlignment="1">
      <alignment vertical="center" wrapText="1"/>
    </xf>
    <xf numFmtId="0" fontId="10" fillId="0" borderId="1" xfId="10" applyFont="1" applyBorder="1" applyAlignment="1">
      <alignment horizontal="left" vertical="center" wrapText="1"/>
    </xf>
    <xf numFmtId="0" fontId="10" fillId="0" borderId="1" xfId="10" applyFont="1" applyBorder="1" applyAlignment="1">
      <alignment horizontal="center" vertical="center" wrapText="1"/>
    </xf>
    <xf numFmtId="0" fontId="10" fillId="0" borderId="1" xfId="10" applyFont="1" applyBorder="1" applyAlignment="1">
      <alignment vertical="center" wrapText="1"/>
    </xf>
    <xf numFmtId="0" fontId="10" fillId="0" borderId="1" xfId="11" applyFont="1" applyBorder="1" applyAlignment="1">
      <alignment vertical="center" wrapText="1"/>
    </xf>
    <xf numFmtId="0" fontId="10" fillId="0" borderId="1" xfId="11" applyFont="1" applyBorder="1" applyAlignment="1">
      <alignment horizontal="center" vertical="center" wrapText="1"/>
    </xf>
    <xf numFmtId="0" fontId="10" fillId="0" borderId="1" xfId="12" applyFont="1" applyBorder="1" applyAlignment="1">
      <alignment horizontal="left" vertical="center" wrapText="1"/>
    </xf>
    <xf numFmtId="0" fontId="10" fillId="0" borderId="1" xfId="12" applyFont="1" applyBorder="1" applyAlignment="1">
      <alignment horizontal="center" vertical="center"/>
    </xf>
    <xf numFmtId="0" fontId="10" fillId="0" borderId="1" xfId="12" applyFont="1" applyBorder="1">
      <alignment vertical="center"/>
    </xf>
    <xf numFmtId="0" fontId="10" fillId="0" borderId="1" xfId="12" applyFont="1" applyBorder="1" applyAlignment="1">
      <alignment vertical="center" wrapText="1"/>
    </xf>
    <xf numFmtId="0" fontId="10" fillId="0" borderId="1" xfId="12" applyFont="1" applyBorder="1" applyAlignment="1">
      <alignment horizontal="center" vertical="center" wrapText="1"/>
    </xf>
    <xf numFmtId="0" fontId="10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center" vertical="center"/>
    </xf>
    <xf numFmtId="0" fontId="10" fillId="0" borderId="1" xfId="13" applyFont="1" applyBorder="1">
      <alignment vertical="center"/>
    </xf>
    <xf numFmtId="0" fontId="10" fillId="0" borderId="1" xfId="13" applyFont="1" applyBorder="1" applyAlignment="1">
      <alignment vertical="center" wrapText="1"/>
    </xf>
    <xf numFmtId="0" fontId="10" fillId="0" borderId="1" xfId="13" applyFont="1" applyBorder="1" applyAlignment="1">
      <alignment horizontal="center" vertical="center" wrapText="1"/>
    </xf>
    <xf numFmtId="0" fontId="10" fillId="0" borderId="1" xfId="14" applyFont="1" applyBorder="1">
      <alignment vertical="center"/>
    </xf>
    <xf numFmtId="0" fontId="10" fillId="0" borderId="1" xfId="14" applyFont="1" applyBorder="1" applyAlignment="1">
      <alignment horizontal="center" vertical="center"/>
    </xf>
    <xf numFmtId="0" fontId="10" fillId="0" borderId="1" xfId="14" applyFont="1" applyBorder="1" applyAlignment="1">
      <alignment vertical="center" wrapText="1"/>
    </xf>
    <xf numFmtId="0" fontId="2" fillId="0" borderId="0" xfId="2">
      <alignment vertical="center"/>
    </xf>
    <xf numFmtId="0" fontId="2" fillId="0" borderId="0" xfId="2" applyAlignment="1">
      <alignment horizontal="left" vertical="center"/>
    </xf>
    <xf numFmtId="0" fontId="6" fillId="5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6" fillId="3" borderId="1" xfId="2" applyFont="1" applyFill="1" applyBorder="1">
      <alignment vertical="center"/>
    </xf>
    <xf numFmtId="0" fontId="2" fillId="0" borderId="0" xfId="2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vertical="center" wrapText="1"/>
    </xf>
    <xf numFmtId="43" fontId="4" fillId="0" borderId="1" xfId="3" applyFont="1" applyFill="1" applyBorder="1" applyAlignment="1">
      <alignment horizontal="left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1" xfId="2" applyFont="1" applyBorder="1">
      <alignment vertical="center"/>
    </xf>
    <xf numFmtId="0" fontId="13" fillId="0" borderId="1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 wrapText="1"/>
    </xf>
    <xf numFmtId="0" fontId="11" fillId="0" borderId="1" xfId="2" applyFont="1" applyBorder="1" applyAlignment="1">
      <alignment vertical="center" wrapText="1"/>
    </xf>
    <xf numFmtId="0" fontId="11" fillId="0" borderId="0" xfId="2" applyFont="1">
      <alignment vertical="center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10" fillId="0" borderId="1" xfId="2" applyFont="1" applyBorder="1">
      <alignment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 wrapText="1"/>
    </xf>
    <xf numFmtId="0" fontId="10" fillId="0" borderId="1" xfId="6" applyFont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6" fillId="0" borderId="1" xfId="15" applyBorder="1">
      <alignment vertical="center"/>
    </xf>
    <xf numFmtId="0" fontId="16" fillId="0" borderId="1" xfId="16" applyBorder="1">
      <alignment vertical="center"/>
    </xf>
    <xf numFmtId="0" fontId="16" fillId="0" borderId="1" xfId="17" applyBorder="1">
      <alignment vertical="center"/>
    </xf>
    <xf numFmtId="0" fontId="16" fillId="0" borderId="1" xfId="18" applyBorder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43" fontId="16" fillId="0" borderId="1" xfId="15" applyNumberFormat="1" applyBorder="1">
      <alignment vertical="center"/>
    </xf>
    <xf numFmtId="0" fontId="4" fillId="0" borderId="1" xfId="2" applyFont="1" applyBorder="1" applyAlignment="1">
      <alignment vertical="center" wrapText="1"/>
    </xf>
    <xf numFmtId="0" fontId="17" fillId="0" borderId="1" xfId="16" applyFont="1" applyBorder="1">
      <alignment vertical="center"/>
    </xf>
    <xf numFmtId="43" fontId="17" fillId="0" borderId="1" xfId="15" applyNumberFormat="1" applyFont="1" applyBorder="1">
      <alignment vertic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4" fillId="0" borderId="0" xfId="2" applyFont="1">
      <alignment vertical="center"/>
    </xf>
  </cellXfs>
  <cellStyles count="19">
    <cellStyle name="百分比 2" xfId="4" xr:uid="{E5B0743D-3EDE-4A17-BDCA-A2A57B82304F}"/>
    <cellStyle name="常规" xfId="0" builtinId="0"/>
    <cellStyle name="常规 10" xfId="2" xr:uid="{3A1E0D07-B128-41C9-88E1-7A8674A7AC67}"/>
    <cellStyle name="常规 11" xfId="5" xr:uid="{F6F334CD-3EB0-4119-8D22-7EF9C080BB8A}"/>
    <cellStyle name="常规 12" xfId="8" xr:uid="{A4947146-F0A6-441C-A51D-A80B127F8CDD}"/>
    <cellStyle name="常规 13" xfId="10" xr:uid="{03DE694A-E53A-43CB-9695-EE41F1E83F77}"/>
    <cellStyle name="常规 14" xfId="13" xr:uid="{DBD08127-3EDA-4407-93B0-835635FE6E34}"/>
    <cellStyle name="常规 17" xfId="18" xr:uid="{F1B2246A-30BE-4977-8B39-02139B8F9A78}"/>
    <cellStyle name="常规 18" xfId="16" xr:uid="{39093D7A-470C-499A-82B5-D2F4F0A62323}"/>
    <cellStyle name="常规 19" xfId="17" xr:uid="{A6125C10-3CD9-413A-B977-FAFDF0C4DDC6}"/>
    <cellStyle name="常规 2" xfId="1" xr:uid="{84DCEFE8-1A0C-4918-B65A-5F27EA1F0E23}"/>
    <cellStyle name="常规 20" xfId="15" xr:uid="{C5BA4DF8-A875-40D3-9AEF-D41ABCC10B1C}"/>
    <cellStyle name="常规 3" xfId="12" xr:uid="{BF39DF12-D40F-48A4-B299-2010D6C0BF75}"/>
    <cellStyle name="常规 4" xfId="9" xr:uid="{445759EC-4A91-4146-A803-C34DC8011470}"/>
    <cellStyle name="常规 5" xfId="6" xr:uid="{5F47735C-FC87-45BA-ABC2-CD2C7A8901FF}"/>
    <cellStyle name="常规 7" xfId="7" xr:uid="{5751213B-527F-4A72-A0BD-D3A30C58C891}"/>
    <cellStyle name="常规 8" xfId="11" xr:uid="{59CA0A90-9786-42F5-BDDF-6E25B5D76F31}"/>
    <cellStyle name="常规 9" xfId="14" xr:uid="{55BE5302-30B0-46D6-82D0-9EE8F9C274AC}"/>
    <cellStyle name="千位分隔 2" xfId="3" xr:uid="{0DC6B41B-A975-4CD6-9C10-EEA2DF66D3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6045-75E2-4721-9C23-5D34B56FFB2F}">
  <dimension ref="A1:AL45"/>
  <sheetViews>
    <sheetView tabSelected="1" topLeftCell="AD1" zoomScaleNormal="100" workbookViewId="0">
      <selection activeCell="AJ1" sqref="AJ1:AJ1048576"/>
    </sheetView>
  </sheetViews>
  <sheetFormatPr defaultColWidth="9" defaultRowHeight="20.100000000000001" customHeight="1" x14ac:dyDescent="0.2"/>
  <cols>
    <col min="1" max="1" width="11.5" style="35" customWidth="1"/>
    <col min="2" max="9" width="12" style="35" customWidth="1"/>
    <col min="10" max="10" width="22.375" style="35" bestFit="1" customWidth="1"/>
    <col min="11" max="11" width="11.125" style="35" bestFit="1" customWidth="1"/>
    <col min="12" max="12" width="12.75" style="36" customWidth="1"/>
    <col min="13" max="13" width="12.75" style="40" customWidth="1"/>
    <col min="14" max="14" width="12.75" style="36" customWidth="1"/>
    <col min="15" max="16" width="16.375" style="40" bestFit="1" customWidth="1"/>
    <col min="17" max="17" width="12.75" style="36" customWidth="1"/>
    <col min="18" max="18" width="15.625" style="40" bestFit="1" customWidth="1"/>
    <col min="19" max="19" width="21.125" style="40" bestFit="1" customWidth="1"/>
    <col min="20" max="20" width="14.875" style="40" bestFit="1" customWidth="1"/>
    <col min="21" max="22" width="19" style="40" bestFit="1" customWidth="1"/>
    <col min="23" max="23" width="12.75" style="40" customWidth="1"/>
    <col min="24" max="24" width="12.75" style="36" customWidth="1"/>
    <col min="25" max="25" width="12.75" style="40" customWidth="1"/>
    <col min="26" max="26" width="12.75" style="36" customWidth="1"/>
    <col min="27" max="28" width="16.375" style="36" bestFit="1" customWidth="1"/>
    <col min="29" max="29" width="14.25" style="36" bestFit="1" customWidth="1"/>
    <col min="30" max="30" width="12.75" style="35" customWidth="1"/>
    <col min="31" max="31" width="42.25" style="35" customWidth="1"/>
    <col min="32" max="32" width="17.5" style="40" customWidth="1"/>
    <col min="33" max="34" width="35" style="40" customWidth="1"/>
    <col min="35" max="35" width="29.25" style="35" customWidth="1"/>
    <col min="36" max="38" width="12.75" style="35" customWidth="1"/>
    <col min="39" max="16384" width="9" style="35"/>
  </cols>
  <sheetData>
    <row r="1" spans="1:38" s="40" customFormat="1" ht="25.5" customHeight="1" x14ac:dyDescent="0.2">
      <c r="A1" s="37" t="s">
        <v>125</v>
      </c>
      <c r="B1" s="67" t="s">
        <v>0</v>
      </c>
      <c r="C1" s="62" t="s">
        <v>1</v>
      </c>
      <c r="D1" s="62" t="s">
        <v>2</v>
      </c>
      <c r="E1" s="62" t="s">
        <v>3</v>
      </c>
      <c r="F1" s="62" t="s">
        <v>4</v>
      </c>
      <c r="G1" s="62" t="s">
        <v>5</v>
      </c>
      <c r="H1" s="62" t="s">
        <v>120</v>
      </c>
      <c r="I1" s="62" t="s">
        <v>121</v>
      </c>
      <c r="J1" s="68" t="s">
        <v>122</v>
      </c>
      <c r="K1" s="67" t="s">
        <v>123</v>
      </c>
      <c r="L1" s="38" t="s">
        <v>97</v>
      </c>
      <c r="M1" s="57" t="s">
        <v>98</v>
      </c>
      <c r="N1" s="38" t="s">
        <v>6</v>
      </c>
      <c r="O1" s="57" t="s">
        <v>99</v>
      </c>
      <c r="P1" s="57" t="s">
        <v>100</v>
      </c>
      <c r="Q1" s="39" t="s">
        <v>7</v>
      </c>
      <c r="R1" s="58" t="s">
        <v>101</v>
      </c>
      <c r="S1" s="58" t="s">
        <v>102</v>
      </c>
      <c r="T1" s="58" t="s">
        <v>103</v>
      </c>
      <c r="U1" s="58" t="s">
        <v>104</v>
      </c>
      <c r="V1" s="58" t="s">
        <v>105</v>
      </c>
      <c r="W1" s="57" t="s">
        <v>106</v>
      </c>
      <c r="X1" s="57" t="s">
        <v>8</v>
      </c>
      <c r="Y1" s="57" t="s">
        <v>107</v>
      </c>
      <c r="Z1" s="38" t="s">
        <v>9</v>
      </c>
      <c r="AA1" s="57" t="s">
        <v>108</v>
      </c>
      <c r="AB1" s="57" t="s">
        <v>109</v>
      </c>
      <c r="AC1" s="57" t="s">
        <v>110</v>
      </c>
      <c r="AD1" s="57" t="s">
        <v>111</v>
      </c>
      <c r="AE1" s="59" t="s">
        <v>112</v>
      </c>
      <c r="AF1" s="57" t="s">
        <v>113</v>
      </c>
      <c r="AG1" s="59" t="s">
        <v>124</v>
      </c>
      <c r="AH1" s="59" t="s">
        <v>115</v>
      </c>
      <c r="AI1" s="61" t="s">
        <v>10</v>
      </c>
      <c r="AJ1" s="61" t="s">
        <v>117</v>
      </c>
      <c r="AK1" s="61" t="s">
        <v>118</v>
      </c>
      <c r="AL1" s="61" t="s">
        <v>119</v>
      </c>
    </row>
    <row r="2" spans="1:38" s="49" customFormat="1" ht="20.100000000000001" customHeight="1" x14ac:dyDescent="0.2">
      <c r="A2" s="42" t="s">
        <v>84</v>
      </c>
      <c r="B2" s="43">
        <v>42228.189072809997</v>
      </c>
      <c r="C2" s="43">
        <f t="shared" ref="C2:C41" si="0">I2*53.8</f>
        <v>16721.04</v>
      </c>
      <c r="D2" s="43">
        <f t="shared" ref="D2:D41" si="1">I2*86.2</f>
        <v>26790.960000000003</v>
      </c>
      <c r="E2" s="43">
        <f t="shared" ref="E2:E41" si="2">(C2+D2)*0.04</f>
        <v>1740.48</v>
      </c>
      <c r="F2" s="43">
        <f t="shared" ref="F2:F41" si="3">SUM(B2:E2)*0.177</f>
        <v>15484.078425887368</v>
      </c>
      <c r="G2" s="43">
        <f t="shared" ref="G2:G41" si="4">SUM(B2:E2)*0.028</f>
        <v>2449.4587340386797</v>
      </c>
      <c r="H2" s="43">
        <f t="shared" ref="H2:H41" si="5">SUM(B2:G2)</f>
        <v>105414.20623273605</v>
      </c>
      <c r="I2" s="63">
        <v>310.8</v>
      </c>
      <c r="J2" s="69">
        <f>C2+D2</f>
        <v>43512</v>
      </c>
      <c r="K2" s="69">
        <f>B2+C2+D2</f>
        <v>85740.189072809997</v>
      </c>
      <c r="L2" s="46" t="s">
        <v>95</v>
      </c>
      <c r="M2" s="41">
        <v>0</v>
      </c>
      <c r="N2" s="47" t="s">
        <v>21</v>
      </c>
      <c r="O2" s="41">
        <v>0</v>
      </c>
      <c r="P2" s="41">
        <v>0</v>
      </c>
      <c r="Q2" s="47" t="s">
        <v>21</v>
      </c>
      <c r="R2" s="41">
        <v>0</v>
      </c>
      <c r="S2" s="41">
        <v>0</v>
      </c>
      <c r="T2" s="41">
        <v>0</v>
      </c>
      <c r="U2" s="41">
        <v>0</v>
      </c>
      <c r="V2" s="41">
        <v>0</v>
      </c>
      <c r="W2" s="41">
        <v>0</v>
      </c>
      <c r="X2" s="47">
        <v>0</v>
      </c>
      <c r="Y2" s="41">
        <v>0</v>
      </c>
      <c r="Z2" s="47" t="s">
        <v>21</v>
      </c>
      <c r="AA2" s="47">
        <v>0</v>
      </c>
      <c r="AB2" s="47">
        <v>0</v>
      </c>
      <c r="AC2" s="47">
        <v>0</v>
      </c>
      <c r="AD2" s="48">
        <v>21</v>
      </c>
      <c r="AE2" s="48">
        <v>50</v>
      </c>
      <c r="AF2" s="41">
        <v>1340</v>
      </c>
      <c r="AG2" s="41"/>
      <c r="AH2" s="41">
        <v>62400</v>
      </c>
      <c r="AI2" s="48">
        <v>42.5</v>
      </c>
      <c r="AJ2" s="48">
        <v>30000</v>
      </c>
      <c r="AK2" s="48"/>
      <c r="AL2" s="48"/>
    </row>
    <row r="3" spans="1:38" s="49" customFormat="1" ht="20.100000000000001" customHeight="1" x14ac:dyDescent="0.2">
      <c r="A3" s="42" t="s">
        <v>85</v>
      </c>
      <c r="B3" s="43">
        <v>9553.1747032099993</v>
      </c>
      <c r="C3" s="43">
        <f t="shared" si="0"/>
        <v>7150.5579999999991</v>
      </c>
      <c r="D3" s="43">
        <f t="shared" si="1"/>
        <v>11456.842000000001</v>
      </c>
      <c r="E3" s="43">
        <f t="shared" si="2"/>
        <v>744.29600000000005</v>
      </c>
      <c r="F3" s="43">
        <f t="shared" si="3"/>
        <v>5116.1621144681694</v>
      </c>
      <c r="G3" s="43">
        <f t="shared" si="4"/>
        <v>809.33637968988</v>
      </c>
      <c r="H3" s="43">
        <f t="shared" si="5"/>
        <v>34830.369197368047</v>
      </c>
      <c r="I3" s="63">
        <v>132.91</v>
      </c>
      <c r="J3" s="69">
        <f t="shared" ref="J3:J41" si="6">C3+D3</f>
        <v>18607.400000000001</v>
      </c>
      <c r="K3" s="69">
        <f t="shared" ref="K3:K41" si="7">B3+C3+D3</f>
        <v>28160.574703210001</v>
      </c>
      <c r="L3" s="46" t="s">
        <v>95</v>
      </c>
      <c r="M3" s="41">
        <v>0</v>
      </c>
      <c r="N3" s="47" t="s">
        <v>21</v>
      </c>
      <c r="O3" s="41">
        <v>0</v>
      </c>
      <c r="P3" s="41">
        <v>0</v>
      </c>
      <c r="Q3" s="47" t="s">
        <v>21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41">
        <v>0</v>
      </c>
      <c r="X3" s="47">
        <v>0</v>
      </c>
      <c r="Y3" s="41">
        <v>0</v>
      </c>
      <c r="Z3" s="47" t="s">
        <v>21</v>
      </c>
      <c r="AA3" s="47">
        <v>0</v>
      </c>
      <c r="AB3" s="47">
        <v>0</v>
      </c>
      <c r="AC3" s="47">
        <v>0</v>
      </c>
      <c r="AD3" s="48">
        <v>21</v>
      </c>
      <c r="AE3" s="48">
        <v>30</v>
      </c>
      <c r="AF3" s="41">
        <v>218</v>
      </c>
      <c r="AG3" s="41">
        <v>14000</v>
      </c>
      <c r="AH3" s="41"/>
      <c r="AI3" s="48">
        <v>2.5</v>
      </c>
      <c r="AJ3" s="48">
        <v>30000</v>
      </c>
      <c r="AK3" s="48"/>
      <c r="AL3" s="48"/>
    </row>
    <row r="4" spans="1:38" s="49" customFormat="1" ht="20.100000000000001" customHeight="1" x14ac:dyDescent="0.2">
      <c r="A4" s="42" t="s">
        <v>86</v>
      </c>
      <c r="B4" s="43">
        <v>2239.3954343999999</v>
      </c>
      <c r="C4" s="43">
        <f t="shared" si="0"/>
        <v>5030.8379999999997</v>
      </c>
      <c r="D4" s="43">
        <f t="shared" si="1"/>
        <v>8060.5620000000008</v>
      </c>
      <c r="E4" s="43">
        <f t="shared" si="2"/>
        <v>523.65600000000006</v>
      </c>
      <c r="F4" s="43">
        <f t="shared" si="3"/>
        <v>2806.2379038887998</v>
      </c>
      <c r="G4" s="43">
        <f t="shared" si="4"/>
        <v>443.92464016320002</v>
      </c>
      <c r="H4" s="43">
        <f t="shared" si="5"/>
        <v>19104.613978452002</v>
      </c>
      <c r="I4" s="63">
        <v>93.51</v>
      </c>
      <c r="J4" s="69">
        <f t="shared" si="6"/>
        <v>13091.400000000001</v>
      </c>
      <c r="K4" s="69">
        <f t="shared" si="7"/>
        <v>15330.795434399999</v>
      </c>
      <c r="L4" s="46" t="s">
        <v>95</v>
      </c>
      <c r="M4" s="41">
        <v>0</v>
      </c>
      <c r="N4" s="47" t="s">
        <v>21</v>
      </c>
      <c r="O4" s="41">
        <v>0</v>
      </c>
      <c r="P4" s="41">
        <v>0</v>
      </c>
      <c r="Q4" s="47" t="s">
        <v>21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41">
        <v>0</v>
      </c>
      <c r="X4" s="47">
        <v>0</v>
      </c>
      <c r="Y4" s="41">
        <v>0</v>
      </c>
      <c r="Z4" s="47" t="s">
        <v>21</v>
      </c>
      <c r="AA4" s="47">
        <v>0</v>
      </c>
      <c r="AB4" s="47">
        <v>0</v>
      </c>
      <c r="AC4" s="47">
        <v>0</v>
      </c>
      <c r="AD4" s="48">
        <v>21</v>
      </c>
      <c r="AE4" s="48">
        <v>20</v>
      </c>
      <c r="AF4" s="41">
        <v>29</v>
      </c>
      <c r="AG4" s="41">
        <v>6000</v>
      </c>
      <c r="AH4" s="41"/>
      <c r="AI4" s="45">
        <v>0.8</v>
      </c>
      <c r="AJ4" s="48">
        <v>30000</v>
      </c>
      <c r="AK4" s="48"/>
      <c r="AL4" s="48"/>
    </row>
    <row r="5" spans="1:38" s="49" customFormat="1" ht="20.100000000000001" customHeight="1" x14ac:dyDescent="0.2">
      <c r="A5" s="42" t="s">
        <v>67</v>
      </c>
      <c r="B5" s="43">
        <v>7590.0923094</v>
      </c>
      <c r="C5" s="43">
        <f t="shared" si="0"/>
        <v>18948.897999999997</v>
      </c>
      <c r="D5" s="43">
        <f t="shared" si="1"/>
        <v>30360.502</v>
      </c>
      <c r="E5" s="43">
        <f t="shared" si="2"/>
        <v>1972.3759999999997</v>
      </c>
      <c r="F5" s="43">
        <f t="shared" si="3"/>
        <v>10420.320690763798</v>
      </c>
      <c r="G5" s="43">
        <f t="shared" si="4"/>
        <v>1648.4123126631998</v>
      </c>
      <c r="H5" s="43">
        <f t="shared" si="5"/>
        <v>70940.601312826999</v>
      </c>
      <c r="I5" s="64">
        <v>352.21</v>
      </c>
      <c r="J5" s="69">
        <f t="shared" si="6"/>
        <v>49309.399999999994</v>
      </c>
      <c r="K5" s="69">
        <f t="shared" si="7"/>
        <v>56899.492309399997</v>
      </c>
      <c r="L5" s="46" t="s">
        <v>95</v>
      </c>
      <c r="M5" s="41">
        <v>0</v>
      </c>
      <c r="N5" s="47" t="s">
        <v>21</v>
      </c>
      <c r="O5" s="41">
        <v>0</v>
      </c>
      <c r="P5" s="41">
        <v>0</v>
      </c>
      <c r="Q5" s="47" t="s">
        <v>21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41">
        <v>0</v>
      </c>
      <c r="X5" s="47">
        <v>0</v>
      </c>
      <c r="Y5" s="41">
        <v>0</v>
      </c>
      <c r="Z5" s="47" t="s">
        <v>21</v>
      </c>
      <c r="AA5" s="47">
        <v>0</v>
      </c>
      <c r="AB5" s="47">
        <v>0</v>
      </c>
      <c r="AC5" s="47">
        <v>0</v>
      </c>
      <c r="AD5" s="48">
        <v>28</v>
      </c>
      <c r="AE5" s="48">
        <v>115</v>
      </c>
      <c r="AF5" s="41">
        <v>81</v>
      </c>
      <c r="AG5" s="41">
        <v>50960</v>
      </c>
      <c r="AH5" s="41">
        <v>50960</v>
      </c>
      <c r="AI5" s="48">
        <v>11.4</v>
      </c>
      <c r="AJ5" s="48">
        <v>3000</v>
      </c>
      <c r="AK5" s="48"/>
      <c r="AL5" s="48"/>
    </row>
    <row r="6" spans="1:38" s="49" customFormat="1" ht="20.100000000000001" customHeight="1" x14ac:dyDescent="0.2">
      <c r="A6" s="42" t="s">
        <v>68</v>
      </c>
      <c r="B6" s="43">
        <v>6297.4379404700003</v>
      </c>
      <c r="C6" s="43">
        <f t="shared" si="0"/>
        <v>6534.01</v>
      </c>
      <c r="D6" s="43">
        <f t="shared" si="1"/>
        <v>10468.99</v>
      </c>
      <c r="E6" s="43">
        <f t="shared" si="2"/>
        <v>680.12</v>
      </c>
      <c r="F6" s="43">
        <f t="shared" si="3"/>
        <v>4244.5587554631902</v>
      </c>
      <c r="G6" s="43">
        <f t="shared" si="4"/>
        <v>671.45562233316002</v>
      </c>
      <c r="H6" s="43">
        <f t="shared" si="5"/>
        <v>28896.57231826635</v>
      </c>
      <c r="I6" s="64">
        <v>121.45</v>
      </c>
      <c r="J6" s="69">
        <f t="shared" si="6"/>
        <v>17003</v>
      </c>
      <c r="K6" s="69">
        <f t="shared" si="7"/>
        <v>23300.437940470001</v>
      </c>
      <c r="L6" s="46" t="s">
        <v>95</v>
      </c>
      <c r="M6" s="41">
        <v>0</v>
      </c>
      <c r="N6" s="47" t="s">
        <v>21</v>
      </c>
      <c r="O6" s="41">
        <v>0</v>
      </c>
      <c r="P6" s="41">
        <v>0</v>
      </c>
      <c r="Q6" s="47" t="s">
        <v>21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7">
        <v>0</v>
      </c>
      <c r="Y6" s="41">
        <v>0</v>
      </c>
      <c r="Z6" s="47" t="s">
        <v>21</v>
      </c>
      <c r="AA6" s="47">
        <v>0</v>
      </c>
      <c r="AB6" s="47">
        <v>0</v>
      </c>
      <c r="AC6" s="47">
        <v>0</v>
      </c>
      <c r="AD6" s="48">
        <v>28</v>
      </c>
      <c r="AE6" s="48">
        <v>100</v>
      </c>
      <c r="AF6" s="41">
        <v>70</v>
      </c>
      <c r="AG6" s="41">
        <v>46000</v>
      </c>
      <c r="AH6" s="41">
        <v>35000</v>
      </c>
      <c r="AI6" s="48">
        <v>4.0599999999999996</v>
      </c>
      <c r="AJ6" s="48">
        <v>3000</v>
      </c>
      <c r="AK6" s="48"/>
      <c r="AL6" s="48"/>
    </row>
    <row r="7" spans="1:38" s="49" customFormat="1" ht="20.100000000000001" customHeight="1" x14ac:dyDescent="0.2">
      <c r="A7" s="42" t="s">
        <v>69</v>
      </c>
      <c r="B7" s="43">
        <v>3261.9983922900001</v>
      </c>
      <c r="C7" s="43">
        <f t="shared" si="0"/>
        <v>8573.0299999999988</v>
      </c>
      <c r="D7" s="43">
        <f t="shared" si="1"/>
        <v>13735.97</v>
      </c>
      <c r="E7" s="43">
        <f t="shared" si="2"/>
        <v>892.36</v>
      </c>
      <c r="F7" s="43">
        <f t="shared" si="3"/>
        <v>4684.0144354353297</v>
      </c>
      <c r="G7" s="43">
        <f t="shared" si="4"/>
        <v>740.97403498411995</v>
      </c>
      <c r="H7" s="43">
        <f t="shared" si="5"/>
        <v>31888.346862709448</v>
      </c>
      <c r="I7" s="64">
        <v>159.35</v>
      </c>
      <c r="J7" s="69">
        <f t="shared" si="6"/>
        <v>22309</v>
      </c>
      <c r="K7" s="69">
        <f t="shared" si="7"/>
        <v>25570.998392289999</v>
      </c>
      <c r="L7" s="46" t="s">
        <v>95</v>
      </c>
      <c r="M7" s="41">
        <v>0</v>
      </c>
      <c r="N7" s="47" t="s">
        <v>21</v>
      </c>
      <c r="O7" s="41">
        <v>0</v>
      </c>
      <c r="P7" s="41">
        <v>0</v>
      </c>
      <c r="Q7" s="47" t="s">
        <v>21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7">
        <v>0</v>
      </c>
      <c r="Y7" s="41">
        <v>0</v>
      </c>
      <c r="Z7" s="47" t="s">
        <v>21</v>
      </c>
      <c r="AA7" s="47">
        <v>0</v>
      </c>
      <c r="AB7" s="47">
        <v>0</v>
      </c>
      <c r="AC7" s="47">
        <v>0</v>
      </c>
      <c r="AD7" s="48">
        <v>28</v>
      </c>
      <c r="AE7" s="48">
        <v>100</v>
      </c>
      <c r="AF7" s="41">
        <v>60</v>
      </c>
      <c r="AG7" s="41">
        <v>56000</v>
      </c>
      <c r="AH7" s="41">
        <v>56000</v>
      </c>
      <c r="AI7" s="48">
        <v>4.1500000000000004</v>
      </c>
      <c r="AJ7" s="48">
        <v>3000</v>
      </c>
      <c r="AK7" s="48"/>
      <c r="AL7" s="48"/>
    </row>
    <row r="8" spans="1:38" s="49" customFormat="1" ht="20.100000000000001" customHeight="1" x14ac:dyDescent="0.2">
      <c r="A8" s="42" t="s">
        <v>70</v>
      </c>
      <c r="B8" s="43">
        <v>3595.4834600200002</v>
      </c>
      <c r="C8" s="43">
        <f t="shared" si="0"/>
        <v>7323.793999999999</v>
      </c>
      <c r="D8" s="43">
        <f t="shared" si="1"/>
        <v>11734.406000000001</v>
      </c>
      <c r="E8" s="43">
        <f t="shared" si="2"/>
        <v>762.32800000000009</v>
      </c>
      <c r="F8" s="43">
        <f t="shared" si="3"/>
        <v>4144.6340284235403</v>
      </c>
      <c r="G8" s="43">
        <f t="shared" si="4"/>
        <v>655.64832088056005</v>
      </c>
      <c r="H8" s="43">
        <f t="shared" si="5"/>
        <v>28216.293809324103</v>
      </c>
      <c r="I8" s="64">
        <v>136.13</v>
      </c>
      <c r="J8" s="69">
        <f t="shared" si="6"/>
        <v>19058.2</v>
      </c>
      <c r="K8" s="69">
        <f t="shared" si="7"/>
        <v>22653.683460020002</v>
      </c>
      <c r="L8" s="46" t="s">
        <v>95</v>
      </c>
      <c r="M8" s="41">
        <v>0</v>
      </c>
      <c r="N8" s="47" t="s">
        <v>21</v>
      </c>
      <c r="O8" s="41">
        <v>0</v>
      </c>
      <c r="P8" s="41">
        <v>0</v>
      </c>
      <c r="Q8" s="47" t="s">
        <v>21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7">
        <v>0</v>
      </c>
      <c r="Y8" s="41">
        <v>0</v>
      </c>
      <c r="Z8" s="47" t="s">
        <v>21</v>
      </c>
      <c r="AA8" s="47">
        <v>0</v>
      </c>
      <c r="AB8" s="47">
        <v>0</v>
      </c>
      <c r="AC8" s="47">
        <v>0</v>
      </c>
      <c r="AD8" s="48">
        <v>28</v>
      </c>
      <c r="AE8" s="48">
        <v>100</v>
      </c>
      <c r="AF8" s="41">
        <v>46</v>
      </c>
      <c r="AG8" s="41">
        <v>56000</v>
      </c>
      <c r="AH8" s="41">
        <v>56000</v>
      </c>
      <c r="AI8" s="48">
        <v>3.93</v>
      </c>
      <c r="AJ8" s="48">
        <v>3000</v>
      </c>
      <c r="AK8" s="48"/>
      <c r="AL8" s="48"/>
    </row>
    <row r="9" spans="1:38" s="49" customFormat="1" ht="20.100000000000001" customHeight="1" x14ac:dyDescent="0.2">
      <c r="A9" s="42" t="s">
        <v>71</v>
      </c>
      <c r="B9" s="43">
        <v>3602.8750566200001</v>
      </c>
      <c r="C9" s="43">
        <f t="shared" si="0"/>
        <v>7323.793999999999</v>
      </c>
      <c r="D9" s="43">
        <f t="shared" si="1"/>
        <v>11734.406000000001</v>
      </c>
      <c r="E9" s="43">
        <f t="shared" si="2"/>
        <v>762.32800000000009</v>
      </c>
      <c r="F9" s="43">
        <f t="shared" si="3"/>
        <v>4145.9423410217405</v>
      </c>
      <c r="G9" s="43">
        <f t="shared" si="4"/>
        <v>655.85528558536009</v>
      </c>
      <c r="H9" s="43">
        <f t="shared" si="5"/>
        <v>28225.200683227104</v>
      </c>
      <c r="I9" s="64">
        <v>136.13</v>
      </c>
      <c r="J9" s="69">
        <f t="shared" si="6"/>
        <v>19058.2</v>
      </c>
      <c r="K9" s="69">
        <f t="shared" si="7"/>
        <v>22661.07505662</v>
      </c>
      <c r="L9" s="46" t="s">
        <v>95</v>
      </c>
      <c r="M9" s="41">
        <v>0</v>
      </c>
      <c r="N9" s="47" t="s">
        <v>21</v>
      </c>
      <c r="O9" s="41">
        <v>0</v>
      </c>
      <c r="P9" s="41">
        <v>0</v>
      </c>
      <c r="Q9" s="47" t="s">
        <v>21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7">
        <v>0</v>
      </c>
      <c r="Y9" s="41">
        <v>0</v>
      </c>
      <c r="Z9" s="47" t="s">
        <v>21</v>
      </c>
      <c r="AA9" s="47">
        <v>0</v>
      </c>
      <c r="AB9" s="47">
        <v>0</v>
      </c>
      <c r="AC9" s="47">
        <v>0</v>
      </c>
      <c r="AD9" s="48">
        <v>28</v>
      </c>
      <c r="AE9" s="48">
        <v>100</v>
      </c>
      <c r="AF9" s="41">
        <v>33</v>
      </c>
      <c r="AG9" s="41">
        <v>56000</v>
      </c>
      <c r="AH9" s="41">
        <v>56000</v>
      </c>
      <c r="AI9" s="48">
        <v>3.72</v>
      </c>
      <c r="AJ9" s="48">
        <v>3000</v>
      </c>
      <c r="AK9" s="48"/>
      <c r="AL9" s="48"/>
    </row>
    <row r="10" spans="1:38" s="49" customFormat="1" ht="20.100000000000001" customHeight="1" x14ac:dyDescent="0.2">
      <c r="A10" s="42" t="s">
        <v>83</v>
      </c>
      <c r="B10" s="43">
        <v>4107.8783084999995</v>
      </c>
      <c r="C10" s="43">
        <f t="shared" si="0"/>
        <v>5997.6239999999998</v>
      </c>
      <c r="D10" s="43">
        <f t="shared" si="1"/>
        <v>9609.5760000000009</v>
      </c>
      <c r="E10" s="43">
        <f t="shared" si="2"/>
        <v>624.28800000000001</v>
      </c>
      <c r="F10" s="43">
        <f t="shared" si="3"/>
        <v>3600.0678366044999</v>
      </c>
      <c r="G10" s="43">
        <f t="shared" si="4"/>
        <v>569.50225663800006</v>
      </c>
      <c r="H10" s="43">
        <f t="shared" si="5"/>
        <v>24508.9364017425</v>
      </c>
      <c r="I10" s="65">
        <v>111.48</v>
      </c>
      <c r="J10" s="69">
        <f t="shared" si="6"/>
        <v>15607.2</v>
      </c>
      <c r="K10" s="69">
        <f t="shared" si="7"/>
        <v>19715.0783085</v>
      </c>
      <c r="L10" s="46" t="s">
        <v>95</v>
      </c>
      <c r="M10" s="41">
        <v>0</v>
      </c>
      <c r="N10" s="47" t="s">
        <v>21</v>
      </c>
      <c r="O10" s="41">
        <v>0</v>
      </c>
      <c r="P10" s="41">
        <v>0</v>
      </c>
      <c r="Q10" s="47" t="s">
        <v>21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7">
        <v>0</v>
      </c>
      <c r="Y10" s="41">
        <v>0</v>
      </c>
      <c r="Z10" s="47" t="s">
        <v>21</v>
      </c>
      <c r="AA10" s="47">
        <v>0</v>
      </c>
      <c r="AB10" s="47">
        <v>0</v>
      </c>
      <c r="AC10" s="47">
        <v>0</v>
      </c>
      <c r="AD10" s="45">
        <v>15</v>
      </c>
      <c r="AE10" s="48">
        <v>100</v>
      </c>
      <c r="AF10" s="41">
        <v>66.5</v>
      </c>
      <c r="AG10" s="41">
        <v>46000</v>
      </c>
      <c r="AH10" s="41">
        <v>35000</v>
      </c>
      <c r="AI10" s="48">
        <v>4.07</v>
      </c>
      <c r="AJ10" s="48">
        <v>3000</v>
      </c>
      <c r="AK10" s="48"/>
      <c r="AL10" s="48"/>
    </row>
    <row r="11" spans="1:38" s="49" customFormat="1" ht="20.100000000000001" customHeight="1" x14ac:dyDescent="0.2">
      <c r="A11" s="42" t="s">
        <v>75</v>
      </c>
      <c r="B11" s="43">
        <v>3625.8014222000002</v>
      </c>
      <c r="C11" s="43">
        <f t="shared" si="0"/>
        <v>3775.1459999999997</v>
      </c>
      <c r="D11" s="43">
        <f t="shared" si="1"/>
        <v>6048.6540000000005</v>
      </c>
      <c r="E11" s="43">
        <f t="shared" si="2"/>
        <v>392.952</v>
      </c>
      <c r="F11" s="43">
        <f t="shared" si="3"/>
        <v>2450.1319557294</v>
      </c>
      <c r="G11" s="43">
        <f t="shared" si="4"/>
        <v>387.59149582160001</v>
      </c>
      <c r="H11" s="43">
        <f t="shared" si="5"/>
        <v>16680.276873751001</v>
      </c>
      <c r="I11" s="64">
        <v>70.17</v>
      </c>
      <c r="J11" s="69">
        <f t="shared" si="6"/>
        <v>9823.7999999999993</v>
      </c>
      <c r="K11" s="69">
        <f t="shared" si="7"/>
        <v>13449.601422200001</v>
      </c>
      <c r="L11" s="46" t="s">
        <v>95</v>
      </c>
      <c r="M11" s="41">
        <v>0</v>
      </c>
      <c r="N11" s="47" t="s">
        <v>21</v>
      </c>
      <c r="O11" s="41">
        <v>0</v>
      </c>
      <c r="P11" s="41">
        <v>0</v>
      </c>
      <c r="Q11" s="47" t="s">
        <v>21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7">
        <v>0</v>
      </c>
      <c r="Y11" s="41">
        <v>0</v>
      </c>
      <c r="Z11" s="47" t="s">
        <v>21</v>
      </c>
      <c r="AA11" s="47">
        <v>0</v>
      </c>
      <c r="AB11" s="47">
        <v>0</v>
      </c>
      <c r="AC11" s="47">
        <v>0</v>
      </c>
      <c r="AD11" s="48">
        <v>28</v>
      </c>
      <c r="AE11" s="48">
        <v>0.9</v>
      </c>
      <c r="AF11" s="41">
        <v>180</v>
      </c>
      <c r="AG11" s="41">
        <v>64940</v>
      </c>
      <c r="AH11" s="41">
        <v>45432</v>
      </c>
      <c r="AI11" s="48">
        <v>3.56</v>
      </c>
      <c r="AJ11" s="48">
        <v>3000</v>
      </c>
      <c r="AK11" s="48"/>
      <c r="AL11" s="48"/>
    </row>
    <row r="12" spans="1:38" s="49" customFormat="1" ht="20.100000000000001" customHeight="1" x14ac:dyDescent="0.2">
      <c r="A12" s="42" t="s">
        <v>76</v>
      </c>
      <c r="B12" s="43">
        <v>3625.8014222000002</v>
      </c>
      <c r="C12" s="43">
        <f t="shared" si="0"/>
        <v>4669.8399999999992</v>
      </c>
      <c r="D12" s="43">
        <f t="shared" si="1"/>
        <v>7482.16</v>
      </c>
      <c r="E12" s="43">
        <f t="shared" si="2"/>
        <v>486.08</v>
      </c>
      <c r="F12" s="43">
        <f t="shared" si="3"/>
        <v>2878.7070117293997</v>
      </c>
      <c r="G12" s="43">
        <f t="shared" si="4"/>
        <v>455.38867982159996</v>
      </c>
      <c r="H12" s="43">
        <f t="shared" si="5"/>
        <v>19597.977113751</v>
      </c>
      <c r="I12" s="64">
        <v>86.8</v>
      </c>
      <c r="J12" s="69">
        <f t="shared" si="6"/>
        <v>12152</v>
      </c>
      <c r="K12" s="69">
        <f t="shared" si="7"/>
        <v>15777.801422199998</v>
      </c>
      <c r="L12" s="46" t="s">
        <v>95</v>
      </c>
      <c r="M12" s="41">
        <v>0</v>
      </c>
      <c r="N12" s="47" t="s">
        <v>21</v>
      </c>
      <c r="O12" s="41">
        <v>0</v>
      </c>
      <c r="P12" s="41">
        <v>0</v>
      </c>
      <c r="Q12" s="47" t="s">
        <v>21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7">
        <v>0</v>
      </c>
      <c r="Y12" s="41">
        <v>0</v>
      </c>
      <c r="Z12" s="47" t="s">
        <v>21</v>
      </c>
      <c r="AA12" s="47">
        <v>0</v>
      </c>
      <c r="AB12" s="47">
        <v>0</v>
      </c>
      <c r="AC12" s="47">
        <v>0</v>
      </c>
      <c r="AD12" s="48">
        <v>28</v>
      </c>
      <c r="AE12" s="48">
        <v>0.9</v>
      </c>
      <c r="AF12" s="41">
        <v>152.19999999999999</v>
      </c>
      <c r="AG12" s="41">
        <v>64940</v>
      </c>
      <c r="AH12" s="41">
        <v>45432</v>
      </c>
      <c r="AI12" s="48">
        <v>3.65</v>
      </c>
      <c r="AJ12" s="48">
        <v>3000</v>
      </c>
      <c r="AK12" s="48"/>
      <c r="AL12" s="48"/>
    </row>
    <row r="13" spans="1:38" s="49" customFormat="1" ht="20.100000000000001" customHeight="1" x14ac:dyDescent="0.2">
      <c r="A13" s="42" t="s">
        <v>77</v>
      </c>
      <c r="B13" s="43">
        <v>15125.70278437</v>
      </c>
      <c r="C13" s="43">
        <f t="shared" si="0"/>
        <v>9275.6579999999994</v>
      </c>
      <c r="D13" s="43">
        <f t="shared" si="1"/>
        <v>14861.742</v>
      </c>
      <c r="E13" s="43">
        <f t="shared" si="2"/>
        <v>965.49600000000009</v>
      </c>
      <c r="F13" s="43">
        <f t="shared" si="3"/>
        <v>7120.4619848334896</v>
      </c>
      <c r="G13" s="43">
        <f t="shared" si="4"/>
        <v>1126.4007659623601</v>
      </c>
      <c r="H13" s="43">
        <f t="shared" si="5"/>
        <v>48475.46153516585</v>
      </c>
      <c r="I13" s="64">
        <v>172.41</v>
      </c>
      <c r="J13" s="69">
        <f t="shared" si="6"/>
        <v>24137.4</v>
      </c>
      <c r="K13" s="69">
        <f t="shared" si="7"/>
        <v>39263.102784369999</v>
      </c>
      <c r="L13" s="46" t="s">
        <v>95</v>
      </c>
      <c r="M13" s="41">
        <v>0</v>
      </c>
      <c r="N13" s="47" t="s">
        <v>21</v>
      </c>
      <c r="O13" s="41">
        <v>0</v>
      </c>
      <c r="P13" s="41">
        <v>0</v>
      </c>
      <c r="Q13" s="47" t="s">
        <v>21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7">
        <v>0</v>
      </c>
      <c r="Y13" s="41">
        <v>0</v>
      </c>
      <c r="Z13" s="47" t="s">
        <v>21</v>
      </c>
      <c r="AA13" s="47">
        <v>0</v>
      </c>
      <c r="AB13" s="47">
        <v>0</v>
      </c>
      <c r="AC13" s="47">
        <v>0</v>
      </c>
      <c r="AD13" s="48">
        <v>28</v>
      </c>
      <c r="AE13" s="48">
        <v>0.9</v>
      </c>
      <c r="AF13" s="41">
        <v>880</v>
      </c>
      <c r="AG13" s="41">
        <v>188610</v>
      </c>
      <c r="AH13" s="41">
        <v>66676</v>
      </c>
      <c r="AI13" s="48">
        <v>33.6</v>
      </c>
      <c r="AJ13" s="48">
        <v>3000</v>
      </c>
      <c r="AK13" s="48"/>
      <c r="AL13" s="48"/>
    </row>
    <row r="14" spans="1:38" s="75" customFormat="1" ht="20.100000000000001" customHeight="1" x14ac:dyDescent="0.2">
      <c r="A14" s="70" t="s">
        <v>78</v>
      </c>
      <c r="B14" s="43">
        <v>2506.36474391</v>
      </c>
      <c r="C14" s="43">
        <f t="shared" si="0"/>
        <v>6758.8939999999993</v>
      </c>
      <c r="D14" s="43">
        <f t="shared" si="1"/>
        <v>10829.306</v>
      </c>
      <c r="E14" s="43">
        <f t="shared" si="2"/>
        <v>703.52800000000002</v>
      </c>
      <c r="F14" s="43">
        <f t="shared" si="3"/>
        <v>3681.2624156720694</v>
      </c>
      <c r="G14" s="43">
        <f t="shared" si="4"/>
        <v>582.34659682947995</v>
      </c>
      <c r="H14" s="43">
        <f t="shared" si="5"/>
        <v>25061.701756411549</v>
      </c>
      <c r="I14" s="71">
        <v>125.63</v>
      </c>
      <c r="J14" s="72">
        <f t="shared" si="6"/>
        <v>17588.2</v>
      </c>
      <c r="K14" s="72">
        <f t="shared" si="7"/>
        <v>20094.564743909999</v>
      </c>
      <c r="L14" s="73" t="s">
        <v>95</v>
      </c>
      <c r="M14" s="50">
        <v>1</v>
      </c>
      <c r="N14" s="74" t="s">
        <v>19</v>
      </c>
      <c r="O14" s="1">
        <v>1</v>
      </c>
      <c r="P14" s="1">
        <v>0</v>
      </c>
      <c r="Q14" s="74" t="s">
        <v>79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74">
        <v>0</v>
      </c>
      <c r="Y14" s="50">
        <v>1</v>
      </c>
      <c r="Z14" s="74" t="s">
        <v>21</v>
      </c>
      <c r="AA14" s="74">
        <v>0</v>
      </c>
      <c r="AB14" s="74">
        <v>0</v>
      </c>
      <c r="AC14" s="74">
        <v>0</v>
      </c>
      <c r="AD14" s="70">
        <v>28</v>
      </c>
      <c r="AE14" s="70">
        <v>0.9</v>
      </c>
      <c r="AF14" s="1">
        <v>209</v>
      </c>
      <c r="AG14" s="1">
        <v>36517</v>
      </c>
      <c r="AH14" s="1">
        <v>26025</v>
      </c>
      <c r="AI14" s="70">
        <v>3.54</v>
      </c>
      <c r="AJ14" s="70">
        <v>3000</v>
      </c>
      <c r="AK14" s="70"/>
      <c r="AL14" s="70"/>
    </row>
    <row r="15" spans="1:38" s="49" customFormat="1" ht="20.100000000000001" customHeight="1" x14ac:dyDescent="0.2">
      <c r="A15" s="42" t="s">
        <v>80</v>
      </c>
      <c r="B15" s="43">
        <v>3600.95896894</v>
      </c>
      <c r="C15" s="43">
        <f t="shared" si="0"/>
        <v>7521.7779999999993</v>
      </c>
      <c r="D15" s="43">
        <f t="shared" si="1"/>
        <v>12051.622000000001</v>
      </c>
      <c r="E15" s="43">
        <f t="shared" si="2"/>
        <v>782.93600000000004</v>
      </c>
      <c r="F15" s="43">
        <f t="shared" si="3"/>
        <v>4240.4412095023808</v>
      </c>
      <c r="G15" s="43">
        <f t="shared" si="4"/>
        <v>670.80425913032013</v>
      </c>
      <c r="H15" s="43">
        <f t="shared" si="5"/>
        <v>28868.540437572705</v>
      </c>
      <c r="I15" s="64">
        <v>139.81</v>
      </c>
      <c r="J15" s="69">
        <f t="shared" si="6"/>
        <v>19573.400000000001</v>
      </c>
      <c r="K15" s="69">
        <f t="shared" si="7"/>
        <v>23174.358968940003</v>
      </c>
      <c r="L15" s="46" t="s">
        <v>95</v>
      </c>
      <c r="M15" s="44">
        <v>1</v>
      </c>
      <c r="N15" s="47" t="s">
        <v>19</v>
      </c>
      <c r="O15" s="41">
        <v>1</v>
      </c>
      <c r="P15" s="41">
        <v>0</v>
      </c>
      <c r="Q15" s="47" t="s">
        <v>79</v>
      </c>
      <c r="R15" s="41">
        <v>0</v>
      </c>
      <c r="S15" s="41">
        <v>1</v>
      </c>
      <c r="T15" s="41">
        <v>0</v>
      </c>
      <c r="U15" s="41">
        <v>0</v>
      </c>
      <c r="V15" s="41">
        <v>0</v>
      </c>
      <c r="W15" s="41">
        <v>0</v>
      </c>
      <c r="X15" s="47">
        <v>0</v>
      </c>
      <c r="Y15" s="44">
        <v>1</v>
      </c>
      <c r="Z15" s="47" t="s">
        <v>21</v>
      </c>
      <c r="AA15" s="47">
        <v>0</v>
      </c>
      <c r="AB15" s="47">
        <v>0</v>
      </c>
      <c r="AC15" s="47">
        <v>0</v>
      </c>
      <c r="AD15" s="48">
        <v>28</v>
      </c>
      <c r="AE15" s="48">
        <v>0.9</v>
      </c>
      <c r="AF15" s="41">
        <v>301</v>
      </c>
      <c r="AG15" s="41">
        <v>36517</v>
      </c>
      <c r="AH15" s="41">
        <v>26025</v>
      </c>
      <c r="AI15" s="48">
        <v>4.5</v>
      </c>
      <c r="AJ15" s="48">
        <v>3000</v>
      </c>
      <c r="AK15" s="48"/>
      <c r="AL15" s="48"/>
    </row>
    <row r="16" spans="1:38" s="49" customFormat="1" ht="20.100000000000001" customHeight="1" x14ac:dyDescent="0.2">
      <c r="A16" s="42" t="s">
        <v>81</v>
      </c>
      <c r="B16" s="43">
        <v>3327.6642470699999</v>
      </c>
      <c r="C16" s="43">
        <f t="shared" si="0"/>
        <v>8859.7839999999997</v>
      </c>
      <c r="D16" s="43">
        <f t="shared" si="1"/>
        <v>14195.416000000001</v>
      </c>
      <c r="E16" s="43">
        <f t="shared" si="2"/>
        <v>922.20800000000008</v>
      </c>
      <c r="F16" s="43">
        <f t="shared" si="3"/>
        <v>4832.9977877313895</v>
      </c>
      <c r="G16" s="43">
        <f t="shared" si="4"/>
        <v>764.54202291796003</v>
      </c>
      <c r="H16" s="43">
        <f t="shared" si="5"/>
        <v>32902.612057719351</v>
      </c>
      <c r="I16" s="64">
        <v>164.68</v>
      </c>
      <c r="J16" s="69">
        <f t="shared" si="6"/>
        <v>23055.200000000001</v>
      </c>
      <c r="K16" s="69">
        <f t="shared" si="7"/>
        <v>26382.86424707</v>
      </c>
      <c r="L16" s="46" t="s">
        <v>95</v>
      </c>
      <c r="M16" s="44">
        <v>1</v>
      </c>
      <c r="N16" s="47" t="s">
        <v>19</v>
      </c>
      <c r="O16" s="41">
        <v>1</v>
      </c>
      <c r="P16" s="41">
        <v>0</v>
      </c>
      <c r="Q16" s="47" t="s">
        <v>79</v>
      </c>
      <c r="R16" s="41">
        <v>0</v>
      </c>
      <c r="S16" s="41">
        <v>1</v>
      </c>
      <c r="T16" s="41">
        <v>0</v>
      </c>
      <c r="U16" s="41">
        <v>0</v>
      </c>
      <c r="V16" s="41">
        <v>0</v>
      </c>
      <c r="W16" s="41">
        <v>0</v>
      </c>
      <c r="X16" s="47">
        <v>0</v>
      </c>
      <c r="Y16" s="44">
        <v>1</v>
      </c>
      <c r="Z16" s="47" t="s">
        <v>21</v>
      </c>
      <c r="AA16" s="47">
        <v>0</v>
      </c>
      <c r="AB16" s="47">
        <v>0</v>
      </c>
      <c r="AC16" s="47">
        <v>0</v>
      </c>
      <c r="AD16" s="48">
        <v>28</v>
      </c>
      <c r="AE16" s="48">
        <v>0.9</v>
      </c>
      <c r="AF16" s="41">
        <v>121</v>
      </c>
      <c r="AG16" s="41">
        <v>36517</v>
      </c>
      <c r="AH16" s="41">
        <v>26025</v>
      </c>
      <c r="AI16" s="48">
        <v>4.4800000000000004</v>
      </c>
      <c r="AJ16" s="48">
        <v>3000</v>
      </c>
      <c r="AK16" s="48"/>
      <c r="AL16" s="48"/>
    </row>
    <row r="17" spans="1:38" s="49" customFormat="1" ht="20.100000000000001" customHeight="1" x14ac:dyDescent="0.2">
      <c r="A17" s="42" t="s">
        <v>82</v>
      </c>
      <c r="B17" s="43">
        <v>2350.0511000000001</v>
      </c>
      <c r="C17" s="43">
        <f t="shared" si="0"/>
        <v>5020.6159999999991</v>
      </c>
      <c r="D17" s="43">
        <f t="shared" si="1"/>
        <v>8044.1839999999993</v>
      </c>
      <c r="E17" s="43">
        <f t="shared" si="2"/>
        <v>522.59199999999998</v>
      </c>
      <c r="F17" s="43">
        <f t="shared" si="3"/>
        <v>2820.9274286999994</v>
      </c>
      <c r="G17" s="43">
        <f t="shared" si="4"/>
        <v>446.2484068</v>
      </c>
      <c r="H17" s="43">
        <f t="shared" si="5"/>
        <v>19204.618935499999</v>
      </c>
      <c r="I17" s="65">
        <v>93.32</v>
      </c>
      <c r="J17" s="69">
        <f t="shared" si="6"/>
        <v>13064.8</v>
      </c>
      <c r="K17" s="69">
        <f t="shared" si="7"/>
        <v>15414.851099999998</v>
      </c>
      <c r="L17" s="46" t="s">
        <v>95</v>
      </c>
      <c r="M17" s="44">
        <v>1</v>
      </c>
      <c r="N17" s="47" t="s">
        <v>21</v>
      </c>
      <c r="O17" s="41">
        <v>0</v>
      </c>
      <c r="P17" s="41">
        <v>0</v>
      </c>
      <c r="Q17" s="47" t="s">
        <v>21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7">
        <v>0</v>
      </c>
      <c r="Y17" s="41">
        <v>0</v>
      </c>
      <c r="Z17" s="47" t="s">
        <v>21</v>
      </c>
      <c r="AA17" s="47">
        <v>0</v>
      </c>
      <c r="AB17" s="47">
        <v>0</v>
      </c>
      <c r="AC17" s="47">
        <v>0</v>
      </c>
      <c r="AD17" s="48">
        <v>28</v>
      </c>
      <c r="AE17" s="48">
        <v>0.9</v>
      </c>
      <c r="AF17" s="41">
        <v>65</v>
      </c>
      <c r="AG17" s="41">
        <v>33100</v>
      </c>
      <c r="AH17" s="41">
        <v>24429</v>
      </c>
      <c r="AI17" s="48">
        <v>1.78</v>
      </c>
      <c r="AJ17" s="48">
        <v>3000</v>
      </c>
      <c r="AK17" s="48"/>
      <c r="AL17" s="48"/>
    </row>
    <row r="18" spans="1:38" s="49" customFormat="1" ht="20.100000000000001" customHeight="1" x14ac:dyDescent="0.2">
      <c r="A18" s="42" t="s">
        <v>91</v>
      </c>
      <c r="B18" s="43">
        <v>120040.31670697</v>
      </c>
      <c r="C18" s="43">
        <f t="shared" si="0"/>
        <v>16277.19</v>
      </c>
      <c r="D18" s="43">
        <f t="shared" si="1"/>
        <v>26079.81</v>
      </c>
      <c r="E18" s="43">
        <f t="shared" si="2"/>
        <v>1694.28</v>
      </c>
      <c r="F18" s="43">
        <f t="shared" si="3"/>
        <v>29044.212617133686</v>
      </c>
      <c r="G18" s="43">
        <f t="shared" si="4"/>
        <v>4594.5647077951598</v>
      </c>
      <c r="H18" s="43">
        <f t="shared" si="5"/>
        <v>197730.37403189883</v>
      </c>
      <c r="I18" s="63">
        <v>302.55</v>
      </c>
      <c r="J18" s="69">
        <f t="shared" si="6"/>
        <v>42357</v>
      </c>
      <c r="K18" s="69">
        <f t="shared" si="7"/>
        <v>162397.31670696998</v>
      </c>
      <c r="L18" s="46" t="s">
        <v>95</v>
      </c>
      <c r="M18" s="44">
        <v>1</v>
      </c>
      <c r="N18" s="47" t="s">
        <v>19</v>
      </c>
      <c r="O18" s="41">
        <v>1</v>
      </c>
      <c r="P18" s="41">
        <v>0</v>
      </c>
      <c r="Q18" s="47" t="s">
        <v>20</v>
      </c>
      <c r="R18" s="41">
        <v>0</v>
      </c>
      <c r="S18" s="41">
        <v>0</v>
      </c>
      <c r="T18" s="41">
        <v>0</v>
      </c>
      <c r="U18" s="41">
        <v>1</v>
      </c>
      <c r="V18" s="41">
        <v>0</v>
      </c>
      <c r="W18" s="41">
        <v>0</v>
      </c>
      <c r="X18" s="47">
        <v>2</v>
      </c>
      <c r="Y18" s="44">
        <v>1</v>
      </c>
      <c r="Z18" s="47" t="s">
        <v>29</v>
      </c>
      <c r="AA18" s="47">
        <v>1</v>
      </c>
      <c r="AB18" s="47">
        <v>0</v>
      </c>
      <c r="AC18" s="47">
        <v>0</v>
      </c>
      <c r="AD18" s="48">
        <v>28</v>
      </c>
      <c r="AE18" s="48">
        <v>0.9</v>
      </c>
      <c r="AF18" s="44">
        <v>147</v>
      </c>
      <c r="AG18" s="44">
        <v>16000</v>
      </c>
      <c r="AH18" s="44">
        <v>12000</v>
      </c>
      <c r="AI18" s="48">
        <v>4.01</v>
      </c>
      <c r="AJ18" s="48">
        <v>6000</v>
      </c>
      <c r="AK18" s="48"/>
      <c r="AL18" s="48"/>
    </row>
    <row r="19" spans="1:38" s="49" customFormat="1" ht="20.100000000000001" customHeight="1" x14ac:dyDescent="0.2">
      <c r="A19" s="42" t="s">
        <v>92</v>
      </c>
      <c r="B19" s="43">
        <v>83799.46156281</v>
      </c>
      <c r="C19" s="43">
        <f t="shared" si="0"/>
        <v>13240.179999999998</v>
      </c>
      <c r="D19" s="43">
        <f t="shared" si="1"/>
        <v>21213.82</v>
      </c>
      <c r="E19" s="43">
        <f t="shared" si="2"/>
        <v>1378.16</v>
      </c>
      <c r="F19" s="43">
        <f t="shared" si="3"/>
        <v>21174.797016617369</v>
      </c>
      <c r="G19" s="43">
        <f t="shared" si="4"/>
        <v>3349.68540375868</v>
      </c>
      <c r="H19" s="43">
        <f t="shared" si="5"/>
        <v>144156.10398318607</v>
      </c>
      <c r="I19" s="63">
        <v>246.1</v>
      </c>
      <c r="J19" s="69">
        <f t="shared" si="6"/>
        <v>34454</v>
      </c>
      <c r="K19" s="69">
        <f t="shared" si="7"/>
        <v>118253.46156281</v>
      </c>
      <c r="L19" s="46" t="s">
        <v>95</v>
      </c>
      <c r="M19" s="44">
        <v>1</v>
      </c>
      <c r="N19" s="47" t="s">
        <v>19</v>
      </c>
      <c r="O19" s="41">
        <v>1</v>
      </c>
      <c r="P19" s="41">
        <v>0</v>
      </c>
      <c r="Q19" s="47" t="s">
        <v>20</v>
      </c>
      <c r="R19" s="41">
        <v>0</v>
      </c>
      <c r="S19" s="41">
        <v>0</v>
      </c>
      <c r="T19" s="41">
        <v>0</v>
      </c>
      <c r="U19" s="41">
        <v>1</v>
      </c>
      <c r="V19" s="41">
        <v>0</v>
      </c>
      <c r="W19" s="41">
        <v>0</v>
      </c>
      <c r="X19" s="47">
        <v>2</v>
      </c>
      <c r="Y19" s="44">
        <v>1</v>
      </c>
      <c r="Z19" s="47" t="s">
        <v>22</v>
      </c>
      <c r="AA19" s="47">
        <v>0</v>
      </c>
      <c r="AB19" s="47">
        <v>1</v>
      </c>
      <c r="AC19" s="47">
        <v>0</v>
      </c>
      <c r="AD19" s="48">
        <v>28</v>
      </c>
      <c r="AE19" s="48">
        <v>0.9</v>
      </c>
      <c r="AF19" s="44">
        <v>210.5</v>
      </c>
      <c r="AG19" s="44">
        <v>31000</v>
      </c>
      <c r="AH19" s="44">
        <v>22000</v>
      </c>
      <c r="AI19" s="48">
        <f>3.8+0.4</f>
        <v>4.2</v>
      </c>
      <c r="AJ19" s="48">
        <v>6000</v>
      </c>
      <c r="AK19" s="48"/>
      <c r="AL19" s="48"/>
    </row>
    <row r="20" spans="1:38" s="49" customFormat="1" ht="20.100000000000001" customHeight="1" x14ac:dyDescent="0.2">
      <c r="A20" s="42" t="s">
        <v>93</v>
      </c>
      <c r="B20" s="43">
        <v>111909.1910674</v>
      </c>
      <c r="C20" s="43">
        <f t="shared" si="0"/>
        <v>13950.34</v>
      </c>
      <c r="D20" s="43">
        <f t="shared" si="1"/>
        <v>22351.660000000003</v>
      </c>
      <c r="E20" s="43">
        <f t="shared" si="2"/>
        <v>1452.08</v>
      </c>
      <c r="F20" s="43">
        <f t="shared" si="3"/>
        <v>26490.398978929792</v>
      </c>
      <c r="G20" s="43">
        <f t="shared" si="4"/>
        <v>4190.5715898871995</v>
      </c>
      <c r="H20" s="43">
        <f t="shared" si="5"/>
        <v>180344.24163621696</v>
      </c>
      <c r="I20" s="63">
        <v>259.3</v>
      </c>
      <c r="J20" s="69">
        <f t="shared" si="6"/>
        <v>36302</v>
      </c>
      <c r="K20" s="69">
        <f t="shared" si="7"/>
        <v>148211.19106739998</v>
      </c>
      <c r="L20" s="46" t="s">
        <v>95</v>
      </c>
      <c r="M20" s="44">
        <v>1</v>
      </c>
      <c r="N20" s="47" t="s">
        <v>19</v>
      </c>
      <c r="O20" s="41">
        <v>1</v>
      </c>
      <c r="P20" s="41">
        <v>0</v>
      </c>
      <c r="Q20" s="47" t="s">
        <v>20</v>
      </c>
      <c r="R20" s="41">
        <v>0</v>
      </c>
      <c r="S20" s="41">
        <v>0</v>
      </c>
      <c r="T20" s="41">
        <v>0</v>
      </c>
      <c r="U20" s="41">
        <v>1</v>
      </c>
      <c r="V20" s="41">
        <v>0</v>
      </c>
      <c r="W20" s="41">
        <v>0</v>
      </c>
      <c r="X20" s="47">
        <v>2</v>
      </c>
      <c r="Y20" s="44">
        <v>1</v>
      </c>
      <c r="Z20" s="47" t="s">
        <v>22</v>
      </c>
      <c r="AA20" s="47">
        <v>0</v>
      </c>
      <c r="AB20" s="47">
        <v>1</v>
      </c>
      <c r="AC20" s="47">
        <v>0</v>
      </c>
      <c r="AD20" s="48">
        <v>28</v>
      </c>
      <c r="AE20" s="48">
        <v>0.9</v>
      </c>
      <c r="AF20" s="44">
        <v>61</v>
      </c>
      <c r="AG20" s="44">
        <v>19000</v>
      </c>
      <c r="AH20" s="44">
        <v>20000</v>
      </c>
      <c r="AI20" s="48">
        <v>3.8</v>
      </c>
      <c r="AJ20" s="48">
        <v>6000</v>
      </c>
      <c r="AK20" s="48"/>
      <c r="AL20" s="48"/>
    </row>
    <row r="21" spans="1:38" s="49" customFormat="1" ht="20.100000000000001" customHeight="1" x14ac:dyDescent="0.2">
      <c r="A21" s="42" t="s">
        <v>94</v>
      </c>
      <c r="B21" s="43">
        <v>119608.69082182</v>
      </c>
      <c r="C21" s="43">
        <f t="shared" si="0"/>
        <v>13065.868</v>
      </c>
      <c r="D21" s="43">
        <f t="shared" si="1"/>
        <v>20934.532000000003</v>
      </c>
      <c r="E21" s="43">
        <f t="shared" si="2"/>
        <v>1360.0160000000001</v>
      </c>
      <c r="F21" s="43">
        <f t="shared" si="3"/>
        <v>27429.531907462137</v>
      </c>
      <c r="G21" s="43">
        <f t="shared" si="4"/>
        <v>4339.1349910109602</v>
      </c>
      <c r="H21" s="43">
        <f t="shared" si="5"/>
        <v>186737.7737202931</v>
      </c>
      <c r="I21" s="63">
        <v>242.86</v>
      </c>
      <c r="J21" s="69">
        <f t="shared" si="6"/>
        <v>34000.400000000001</v>
      </c>
      <c r="K21" s="69">
        <f t="shared" si="7"/>
        <v>153609.09082181999</v>
      </c>
      <c r="L21" s="46" t="s">
        <v>95</v>
      </c>
      <c r="M21" s="44">
        <v>1</v>
      </c>
      <c r="N21" s="47" t="s">
        <v>19</v>
      </c>
      <c r="O21" s="41">
        <v>1</v>
      </c>
      <c r="P21" s="41">
        <v>0</v>
      </c>
      <c r="Q21" s="47" t="s">
        <v>20</v>
      </c>
      <c r="R21" s="41">
        <v>0</v>
      </c>
      <c r="S21" s="41">
        <v>0</v>
      </c>
      <c r="T21" s="41">
        <v>0</v>
      </c>
      <c r="U21" s="41">
        <v>1</v>
      </c>
      <c r="V21" s="41">
        <v>0</v>
      </c>
      <c r="W21" s="41">
        <v>0</v>
      </c>
      <c r="X21" s="47">
        <v>2</v>
      </c>
      <c r="Y21" s="44">
        <v>1</v>
      </c>
      <c r="Z21" s="47" t="s">
        <v>22</v>
      </c>
      <c r="AA21" s="47">
        <v>0</v>
      </c>
      <c r="AB21" s="47">
        <v>1</v>
      </c>
      <c r="AC21" s="47">
        <v>0</v>
      </c>
      <c r="AD21" s="48">
        <v>28</v>
      </c>
      <c r="AE21" s="48">
        <v>0.9</v>
      </c>
      <c r="AF21" s="44">
        <v>147</v>
      </c>
      <c r="AG21" s="44">
        <v>15000</v>
      </c>
      <c r="AH21" s="44">
        <v>30000</v>
      </c>
      <c r="AI21" s="48">
        <v>6.5</v>
      </c>
      <c r="AJ21" s="48"/>
      <c r="AK21" s="48"/>
      <c r="AL21" s="48">
        <v>3000</v>
      </c>
    </row>
    <row r="22" spans="1:38" s="49" customFormat="1" ht="20.100000000000001" customHeight="1" x14ac:dyDescent="0.2">
      <c r="A22" s="51" t="s">
        <v>24</v>
      </c>
      <c r="B22" s="2">
        <v>96685.875651360009</v>
      </c>
      <c r="C22" s="43">
        <f t="shared" si="0"/>
        <v>26351.777999999998</v>
      </c>
      <c r="D22" s="43">
        <f t="shared" si="1"/>
        <v>42221.622000000003</v>
      </c>
      <c r="E22" s="43">
        <f t="shared" si="2"/>
        <v>2742.9359999999997</v>
      </c>
      <c r="F22" s="43">
        <f t="shared" si="3"/>
        <v>29736.391462290718</v>
      </c>
      <c r="G22" s="43">
        <f t="shared" si="4"/>
        <v>4704.0619262380806</v>
      </c>
      <c r="H22" s="43">
        <f t="shared" si="5"/>
        <v>202442.66503988882</v>
      </c>
      <c r="I22" s="63">
        <v>489.81</v>
      </c>
      <c r="J22" s="69">
        <f t="shared" si="6"/>
        <v>68573.399999999994</v>
      </c>
      <c r="K22" s="69">
        <f t="shared" si="7"/>
        <v>165259.27565136002</v>
      </c>
      <c r="L22" s="46" t="s">
        <v>95</v>
      </c>
      <c r="M22" s="44">
        <v>1</v>
      </c>
      <c r="N22" s="55" t="s">
        <v>19</v>
      </c>
      <c r="O22" s="41">
        <v>1</v>
      </c>
      <c r="P22" s="41">
        <v>0</v>
      </c>
      <c r="Q22" s="55" t="s">
        <v>20</v>
      </c>
      <c r="R22" s="41">
        <v>0</v>
      </c>
      <c r="S22" s="41">
        <v>0</v>
      </c>
      <c r="T22" s="41">
        <v>0</v>
      </c>
      <c r="U22" s="41">
        <v>1</v>
      </c>
      <c r="V22" s="41">
        <v>0</v>
      </c>
      <c r="W22" s="41">
        <v>0</v>
      </c>
      <c r="X22" s="56">
        <v>2</v>
      </c>
      <c r="Y22" s="44">
        <v>1</v>
      </c>
      <c r="Z22" s="55" t="s">
        <v>25</v>
      </c>
      <c r="AA22" s="55">
        <v>0</v>
      </c>
      <c r="AB22" s="55">
        <v>0</v>
      </c>
      <c r="AC22" s="55">
        <v>1</v>
      </c>
      <c r="AD22" s="48">
        <v>21</v>
      </c>
      <c r="AE22" s="48">
        <v>0.9</v>
      </c>
      <c r="AF22" s="56">
        <v>122</v>
      </c>
      <c r="AG22" s="56">
        <v>4000</v>
      </c>
      <c r="AH22" s="56" t="s">
        <v>116</v>
      </c>
      <c r="AI22" s="54">
        <v>3.4</v>
      </c>
      <c r="AJ22" s="48">
        <v>3000</v>
      </c>
      <c r="AK22" s="54"/>
      <c r="AL22" s="54"/>
    </row>
    <row r="23" spans="1:38" s="49" customFormat="1" ht="20.100000000000001" customHeight="1" x14ac:dyDescent="0.2">
      <c r="A23" s="51" t="s">
        <v>26</v>
      </c>
      <c r="B23" s="2">
        <v>108852.95752212001</v>
      </c>
      <c r="C23" s="43">
        <f t="shared" si="0"/>
        <v>24844.84</v>
      </c>
      <c r="D23" s="43">
        <f t="shared" si="1"/>
        <v>39807.160000000003</v>
      </c>
      <c r="E23" s="43">
        <f t="shared" si="2"/>
        <v>2586.08</v>
      </c>
      <c r="F23" s="43">
        <f t="shared" si="3"/>
        <v>31168.113641415239</v>
      </c>
      <c r="G23" s="43">
        <f t="shared" si="4"/>
        <v>4930.5490506193601</v>
      </c>
      <c r="H23" s="43">
        <f t="shared" si="5"/>
        <v>212189.70021415458</v>
      </c>
      <c r="I23" s="63">
        <v>461.8</v>
      </c>
      <c r="J23" s="69">
        <f t="shared" si="6"/>
        <v>64652</v>
      </c>
      <c r="K23" s="69">
        <f t="shared" si="7"/>
        <v>173504.95752212001</v>
      </c>
      <c r="L23" s="46" t="s">
        <v>95</v>
      </c>
      <c r="M23" s="44">
        <v>1</v>
      </c>
      <c r="N23" s="55" t="s">
        <v>19</v>
      </c>
      <c r="O23" s="41">
        <v>1</v>
      </c>
      <c r="P23" s="41">
        <v>0</v>
      </c>
      <c r="Q23" s="55" t="s">
        <v>20</v>
      </c>
      <c r="R23" s="41">
        <v>0</v>
      </c>
      <c r="S23" s="41">
        <v>0</v>
      </c>
      <c r="T23" s="41">
        <v>0</v>
      </c>
      <c r="U23" s="41">
        <v>1</v>
      </c>
      <c r="V23" s="41">
        <v>0</v>
      </c>
      <c r="W23" s="41">
        <v>0</v>
      </c>
      <c r="X23" s="56">
        <v>2</v>
      </c>
      <c r="Y23" s="44">
        <v>1</v>
      </c>
      <c r="Z23" s="55" t="s">
        <v>22</v>
      </c>
      <c r="AA23" s="47">
        <v>0</v>
      </c>
      <c r="AB23" s="47">
        <v>1</v>
      </c>
      <c r="AC23" s="47">
        <v>0</v>
      </c>
      <c r="AD23" s="48">
        <v>21</v>
      </c>
      <c r="AE23" s="48">
        <v>0.9</v>
      </c>
      <c r="AF23" s="53">
        <v>54</v>
      </c>
      <c r="AG23" s="56">
        <v>2000</v>
      </c>
      <c r="AH23" s="56">
        <v>4000</v>
      </c>
      <c r="AI23" s="54">
        <v>4.3499999999999996</v>
      </c>
      <c r="AJ23" s="48">
        <v>6000</v>
      </c>
      <c r="AK23" s="54"/>
      <c r="AL23" s="54"/>
    </row>
    <row r="24" spans="1:38" s="49" customFormat="1" ht="20.100000000000001" customHeight="1" x14ac:dyDescent="0.2">
      <c r="A24" s="51" t="s">
        <v>27</v>
      </c>
      <c r="B24" s="2">
        <v>61817.959410520001</v>
      </c>
      <c r="C24" s="43">
        <f t="shared" si="0"/>
        <v>22733.727999999999</v>
      </c>
      <c r="D24" s="43">
        <f t="shared" si="1"/>
        <v>36424.671999999999</v>
      </c>
      <c r="E24" s="43">
        <f t="shared" si="2"/>
        <v>2366.3359999999998</v>
      </c>
      <c r="F24" s="43">
        <f t="shared" si="3"/>
        <v>21831.657087662039</v>
      </c>
      <c r="G24" s="43">
        <f t="shared" si="4"/>
        <v>3453.5954714945601</v>
      </c>
      <c r="H24" s="43">
        <f t="shared" si="5"/>
        <v>148627.94796967661</v>
      </c>
      <c r="I24" s="63">
        <v>422.56</v>
      </c>
      <c r="J24" s="69">
        <f t="shared" si="6"/>
        <v>59158.399999999994</v>
      </c>
      <c r="K24" s="69">
        <f t="shared" si="7"/>
        <v>120976.35941052</v>
      </c>
      <c r="L24" s="46" t="s">
        <v>95</v>
      </c>
      <c r="M24" s="44">
        <v>1</v>
      </c>
      <c r="N24" s="3" t="s">
        <v>19</v>
      </c>
      <c r="O24" s="41">
        <v>1</v>
      </c>
      <c r="P24" s="41">
        <v>0</v>
      </c>
      <c r="Q24" s="3" t="s">
        <v>20</v>
      </c>
      <c r="R24" s="41">
        <v>0</v>
      </c>
      <c r="S24" s="41">
        <v>0</v>
      </c>
      <c r="T24" s="41">
        <v>0</v>
      </c>
      <c r="U24" s="41">
        <v>1</v>
      </c>
      <c r="V24" s="41">
        <v>0</v>
      </c>
      <c r="W24" s="41">
        <v>0</v>
      </c>
      <c r="X24" s="4">
        <v>2</v>
      </c>
      <c r="Y24" s="44">
        <v>1</v>
      </c>
      <c r="Z24" s="3" t="s">
        <v>22</v>
      </c>
      <c r="AA24" s="47">
        <v>0</v>
      </c>
      <c r="AB24" s="47">
        <v>1</v>
      </c>
      <c r="AC24" s="47">
        <v>0</v>
      </c>
      <c r="AD24" s="48">
        <v>28</v>
      </c>
      <c r="AE24" s="48">
        <v>0.9</v>
      </c>
      <c r="AF24" s="4">
        <v>286</v>
      </c>
      <c r="AG24" s="4">
        <v>18000</v>
      </c>
      <c r="AH24" s="4">
        <v>13000</v>
      </c>
      <c r="AI24" s="5">
        <v>4.6500000000000004</v>
      </c>
      <c r="AJ24" s="48">
        <v>3000</v>
      </c>
      <c r="AK24" s="5"/>
      <c r="AL24" s="5"/>
    </row>
    <row r="25" spans="1:38" s="49" customFormat="1" ht="20.100000000000001" customHeight="1" x14ac:dyDescent="0.2">
      <c r="A25" s="51" t="s">
        <v>17</v>
      </c>
      <c r="B25" s="2">
        <v>81154.02946605999</v>
      </c>
      <c r="C25" s="43">
        <f t="shared" si="0"/>
        <v>36664.161999999997</v>
      </c>
      <c r="D25" s="43">
        <f t="shared" si="1"/>
        <v>58744.438000000002</v>
      </c>
      <c r="E25" s="43">
        <f t="shared" si="2"/>
        <v>3816.3440000000005</v>
      </c>
      <c r="F25" s="43">
        <f t="shared" si="3"/>
        <v>31927.078303492621</v>
      </c>
      <c r="G25" s="43">
        <f t="shared" si="4"/>
        <v>5050.6112570496807</v>
      </c>
      <c r="H25" s="43">
        <f t="shared" si="5"/>
        <v>217356.66302660233</v>
      </c>
      <c r="I25" s="63">
        <v>681.49</v>
      </c>
      <c r="J25" s="69">
        <f t="shared" si="6"/>
        <v>95408.6</v>
      </c>
      <c r="K25" s="69">
        <f t="shared" si="7"/>
        <v>176562.62946606</v>
      </c>
      <c r="L25" s="46" t="s">
        <v>95</v>
      </c>
      <c r="M25" s="44">
        <v>1</v>
      </c>
      <c r="N25" s="55" t="s">
        <v>19</v>
      </c>
      <c r="O25" s="41">
        <v>1</v>
      </c>
      <c r="P25" s="41">
        <v>0</v>
      </c>
      <c r="Q25" s="55" t="s">
        <v>20</v>
      </c>
      <c r="R25" s="41">
        <v>0</v>
      </c>
      <c r="S25" s="41">
        <v>0</v>
      </c>
      <c r="T25" s="41">
        <v>0</v>
      </c>
      <c r="U25" s="41">
        <v>1</v>
      </c>
      <c r="V25" s="41">
        <v>0</v>
      </c>
      <c r="W25" s="41">
        <v>0</v>
      </c>
      <c r="X25" s="56">
        <v>2</v>
      </c>
      <c r="Y25" s="44">
        <v>1</v>
      </c>
      <c r="Z25" s="55" t="s">
        <v>22</v>
      </c>
      <c r="AA25" s="47">
        <v>0</v>
      </c>
      <c r="AB25" s="47">
        <v>1</v>
      </c>
      <c r="AC25" s="47">
        <v>0</v>
      </c>
      <c r="AD25" s="48">
        <v>21</v>
      </c>
      <c r="AE25" s="48">
        <v>0.9</v>
      </c>
      <c r="AF25" s="53">
        <v>146</v>
      </c>
      <c r="AG25" s="56">
        <v>7500</v>
      </c>
      <c r="AH25" s="56">
        <v>5500</v>
      </c>
      <c r="AI25" s="54">
        <v>4.01</v>
      </c>
      <c r="AJ25" s="48">
        <v>6000</v>
      </c>
      <c r="AK25" s="54"/>
      <c r="AL25" s="54"/>
    </row>
    <row r="26" spans="1:38" s="49" customFormat="1" ht="20.100000000000001" customHeight="1" x14ac:dyDescent="0.2">
      <c r="A26" s="51" t="s">
        <v>23</v>
      </c>
      <c r="B26" s="2">
        <v>82531.132475689999</v>
      </c>
      <c r="C26" s="43">
        <f t="shared" si="0"/>
        <v>30632.643999999997</v>
      </c>
      <c r="D26" s="43">
        <f t="shared" si="1"/>
        <v>49080.556000000004</v>
      </c>
      <c r="E26" s="43">
        <f t="shared" si="2"/>
        <v>3188.5279999999998</v>
      </c>
      <c r="F26" s="43">
        <f t="shared" si="3"/>
        <v>29281.616304197127</v>
      </c>
      <c r="G26" s="43">
        <f t="shared" si="4"/>
        <v>4632.1200933193195</v>
      </c>
      <c r="H26" s="43">
        <f t="shared" si="5"/>
        <v>199346.59687320644</v>
      </c>
      <c r="I26" s="63">
        <v>569.38</v>
      </c>
      <c r="J26" s="69">
        <f t="shared" si="6"/>
        <v>79713.2</v>
      </c>
      <c r="K26" s="69">
        <f t="shared" si="7"/>
        <v>162244.33247569</v>
      </c>
      <c r="L26" s="46" t="s">
        <v>95</v>
      </c>
      <c r="M26" s="44">
        <v>1</v>
      </c>
      <c r="N26" s="55" t="s">
        <v>19</v>
      </c>
      <c r="O26" s="41">
        <v>1</v>
      </c>
      <c r="P26" s="41">
        <v>0</v>
      </c>
      <c r="Q26" s="55" t="s">
        <v>20</v>
      </c>
      <c r="R26" s="41">
        <v>0</v>
      </c>
      <c r="S26" s="41">
        <v>0</v>
      </c>
      <c r="T26" s="41">
        <v>0</v>
      </c>
      <c r="U26" s="41">
        <v>1</v>
      </c>
      <c r="V26" s="41">
        <v>0</v>
      </c>
      <c r="W26" s="41">
        <v>0</v>
      </c>
      <c r="X26" s="56">
        <v>2</v>
      </c>
      <c r="Y26" s="44">
        <v>1</v>
      </c>
      <c r="Z26" s="55" t="s">
        <v>21</v>
      </c>
      <c r="AA26" s="47">
        <v>0</v>
      </c>
      <c r="AB26" s="47">
        <v>0</v>
      </c>
      <c r="AC26" s="47">
        <v>0</v>
      </c>
      <c r="AD26" s="48">
        <v>21</v>
      </c>
      <c r="AE26" s="48">
        <v>0.9</v>
      </c>
      <c r="AF26" s="53">
        <v>146</v>
      </c>
      <c r="AG26" s="56">
        <v>7500</v>
      </c>
      <c r="AH26" s="56">
        <v>5500</v>
      </c>
      <c r="AI26" s="54">
        <v>4.01</v>
      </c>
      <c r="AJ26" s="48">
        <v>6000</v>
      </c>
      <c r="AK26" s="54"/>
      <c r="AL26" s="54"/>
    </row>
    <row r="27" spans="1:38" ht="20.100000000000001" customHeight="1" x14ac:dyDescent="0.2">
      <c r="A27" s="51" t="s">
        <v>35</v>
      </c>
      <c r="B27" s="2">
        <v>81051.814158680005</v>
      </c>
      <c r="C27" s="43">
        <f t="shared" si="0"/>
        <v>13299.359999999999</v>
      </c>
      <c r="D27" s="43">
        <f t="shared" si="1"/>
        <v>21308.639999999999</v>
      </c>
      <c r="E27" s="43">
        <f t="shared" si="2"/>
        <v>1384.32</v>
      </c>
      <c r="F27" s="43">
        <f t="shared" si="3"/>
        <v>20716.811746086361</v>
      </c>
      <c r="G27" s="43">
        <f t="shared" si="4"/>
        <v>3277.2357564430404</v>
      </c>
      <c r="H27" s="43">
        <f t="shared" si="5"/>
        <v>141038.18166120941</v>
      </c>
      <c r="I27" s="63">
        <v>247.2</v>
      </c>
      <c r="J27" s="69">
        <f t="shared" si="6"/>
        <v>34608</v>
      </c>
      <c r="K27" s="69">
        <f t="shared" si="7"/>
        <v>115659.81415868</v>
      </c>
      <c r="L27" s="46" t="s">
        <v>95</v>
      </c>
      <c r="M27" s="44">
        <v>1</v>
      </c>
      <c r="N27" s="11" t="s">
        <v>19</v>
      </c>
      <c r="O27" s="41">
        <v>1</v>
      </c>
      <c r="P27" s="41">
        <v>0</v>
      </c>
      <c r="Q27" s="11" t="s">
        <v>20</v>
      </c>
      <c r="R27" s="41">
        <v>0</v>
      </c>
      <c r="S27" s="41">
        <v>0</v>
      </c>
      <c r="T27" s="41">
        <v>0</v>
      </c>
      <c r="U27" s="41">
        <v>1</v>
      </c>
      <c r="V27" s="41">
        <v>0</v>
      </c>
      <c r="W27" s="41">
        <v>0</v>
      </c>
      <c r="X27" s="12">
        <v>2</v>
      </c>
      <c r="Y27" s="44">
        <v>1</v>
      </c>
      <c r="Z27" s="11" t="s">
        <v>22</v>
      </c>
      <c r="AA27" s="47">
        <v>0</v>
      </c>
      <c r="AB27" s="47">
        <v>1</v>
      </c>
      <c r="AC27" s="47">
        <v>0</v>
      </c>
      <c r="AD27" s="48">
        <v>28</v>
      </c>
      <c r="AE27" s="48">
        <v>0.9</v>
      </c>
      <c r="AF27" s="12">
        <v>181</v>
      </c>
      <c r="AG27" s="12">
        <v>31000</v>
      </c>
      <c r="AH27" s="12">
        <v>22000</v>
      </c>
      <c r="AI27" s="13">
        <f>3.7+0.4</f>
        <v>4.1000000000000005</v>
      </c>
      <c r="AJ27" s="8">
        <v>8000</v>
      </c>
      <c r="AK27" s="13"/>
      <c r="AL27" s="13"/>
    </row>
    <row r="28" spans="1:38" ht="20.100000000000001" customHeight="1" x14ac:dyDescent="0.2">
      <c r="A28" s="51" t="s">
        <v>28</v>
      </c>
      <c r="B28" s="2">
        <v>114996.75498929</v>
      </c>
      <c r="C28" s="43">
        <f t="shared" si="0"/>
        <v>15995.815999999999</v>
      </c>
      <c r="D28" s="43">
        <f t="shared" si="1"/>
        <v>25628.984</v>
      </c>
      <c r="E28" s="43">
        <f t="shared" si="2"/>
        <v>1664.9920000000002</v>
      </c>
      <c r="F28" s="43">
        <f t="shared" si="3"/>
        <v>28016.718817104327</v>
      </c>
      <c r="G28" s="43">
        <f t="shared" si="4"/>
        <v>4432.0233157001194</v>
      </c>
      <c r="H28" s="43">
        <f t="shared" si="5"/>
        <v>190735.28912209443</v>
      </c>
      <c r="I28" s="63">
        <v>297.32</v>
      </c>
      <c r="J28" s="69">
        <f t="shared" si="6"/>
        <v>41624.800000000003</v>
      </c>
      <c r="K28" s="69">
        <f t="shared" si="7"/>
        <v>156621.55498928999</v>
      </c>
      <c r="L28" s="46" t="s">
        <v>95</v>
      </c>
      <c r="M28" s="44">
        <v>1</v>
      </c>
      <c r="N28" s="6" t="s">
        <v>19</v>
      </c>
      <c r="O28" s="41">
        <v>1</v>
      </c>
      <c r="P28" s="41">
        <v>0</v>
      </c>
      <c r="Q28" s="6" t="s">
        <v>20</v>
      </c>
      <c r="R28" s="41">
        <v>0</v>
      </c>
      <c r="S28" s="41">
        <v>0</v>
      </c>
      <c r="T28" s="41">
        <v>0</v>
      </c>
      <c r="U28" s="41">
        <v>1</v>
      </c>
      <c r="V28" s="41">
        <v>0</v>
      </c>
      <c r="W28" s="41">
        <v>0</v>
      </c>
      <c r="X28" s="7">
        <v>2</v>
      </c>
      <c r="Y28" s="44">
        <v>1</v>
      </c>
      <c r="Z28" s="6" t="s">
        <v>29</v>
      </c>
      <c r="AA28" s="47">
        <v>1</v>
      </c>
      <c r="AB28" s="47">
        <v>0</v>
      </c>
      <c r="AC28" s="47">
        <v>0</v>
      </c>
      <c r="AD28" s="48">
        <v>28</v>
      </c>
      <c r="AE28" s="48">
        <v>0.9</v>
      </c>
      <c r="AF28" s="60">
        <v>147</v>
      </c>
      <c r="AG28" s="7">
        <v>16000</v>
      </c>
      <c r="AH28" s="7">
        <v>12000</v>
      </c>
      <c r="AI28" s="8">
        <v>4.05</v>
      </c>
      <c r="AJ28" s="8">
        <v>8000</v>
      </c>
      <c r="AK28" s="8"/>
      <c r="AL28" s="8"/>
    </row>
    <row r="29" spans="1:38" ht="20.100000000000001" customHeight="1" x14ac:dyDescent="0.2">
      <c r="A29" s="51" t="s">
        <v>30</v>
      </c>
      <c r="B29" s="2">
        <v>28440.04876211</v>
      </c>
      <c r="C29" s="43">
        <f t="shared" si="0"/>
        <v>17961.668000000001</v>
      </c>
      <c r="D29" s="43">
        <f t="shared" si="1"/>
        <v>28778.732000000004</v>
      </c>
      <c r="E29" s="43">
        <f t="shared" si="2"/>
        <v>1869.6160000000004</v>
      </c>
      <c r="F29" s="43">
        <f t="shared" si="3"/>
        <v>13637.861462893468</v>
      </c>
      <c r="G29" s="43">
        <f t="shared" si="4"/>
        <v>2157.40181333908</v>
      </c>
      <c r="H29" s="43">
        <f t="shared" si="5"/>
        <v>92845.328038342544</v>
      </c>
      <c r="I29" s="63">
        <v>333.86</v>
      </c>
      <c r="J29" s="69">
        <f t="shared" si="6"/>
        <v>46740.400000000009</v>
      </c>
      <c r="K29" s="69">
        <f t="shared" si="7"/>
        <v>75180.448762109998</v>
      </c>
      <c r="L29" s="46" t="s">
        <v>95</v>
      </c>
      <c r="M29" s="44">
        <v>1</v>
      </c>
      <c r="N29" s="9" t="s">
        <v>18</v>
      </c>
      <c r="O29" s="10">
        <v>1</v>
      </c>
      <c r="P29" s="10">
        <v>0</v>
      </c>
      <c r="Q29" s="9" t="s">
        <v>31</v>
      </c>
      <c r="R29" s="10">
        <v>0</v>
      </c>
      <c r="S29" s="10">
        <v>0</v>
      </c>
      <c r="T29" s="10">
        <v>0</v>
      </c>
      <c r="U29" s="10">
        <v>0</v>
      </c>
      <c r="V29" s="10">
        <v>1</v>
      </c>
      <c r="W29" s="41">
        <v>0</v>
      </c>
      <c r="X29" s="10">
        <v>2</v>
      </c>
      <c r="Y29" s="41">
        <v>0</v>
      </c>
      <c r="Z29" s="9" t="s">
        <v>21</v>
      </c>
      <c r="AA29" s="47">
        <v>0</v>
      </c>
      <c r="AB29" s="47">
        <v>0</v>
      </c>
      <c r="AC29" s="47">
        <v>0</v>
      </c>
      <c r="AD29" s="48">
        <v>28</v>
      </c>
      <c r="AE29" s="48">
        <v>0.9</v>
      </c>
      <c r="AF29" s="10">
        <v>243</v>
      </c>
      <c r="AG29" s="10"/>
      <c r="AH29" s="10"/>
      <c r="AI29" s="9"/>
      <c r="AJ29" s="9"/>
      <c r="AK29" s="9"/>
      <c r="AL29" s="9"/>
    </row>
    <row r="30" spans="1:38" ht="20.100000000000001" customHeight="1" x14ac:dyDescent="0.2">
      <c r="A30" s="51" t="s">
        <v>55</v>
      </c>
      <c r="B30" s="2">
        <v>94220.600254250006</v>
      </c>
      <c r="C30" s="43">
        <f t="shared" si="0"/>
        <v>38059.733999999997</v>
      </c>
      <c r="D30" s="43">
        <f t="shared" si="1"/>
        <v>60980.466</v>
      </c>
      <c r="E30" s="43">
        <f t="shared" si="2"/>
        <v>3961.6080000000002</v>
      </c>
      <c r="F30" s="43">
        <f t="shared" si="3"/>
        <v>34908.366261002251</v>
      </c>
      <c r="G30" s="43">
        <f t="shared" si="4"/>
        <v>5522.2274311190004</v>
      </c>
      <c r="H30" s="43">
        <f t="shared" si="5"/>
        <v>237653.00194637128</v>
      </c>
      <c r="I30" s="63">
        <v>707.43</v>
      </c>
      <c r="J30" s="69">
        <f t="shared" si="6"/>
        <v>99040.2</v>
      </c>
      <c r="K30" s="69">
        <f t="shared" si="7"/>
        <v>193260.80025425</v>
      </c>
      <c r="L30" s="46" t="s">
        <v>95</v>
      </c>
      <c r="M30" s="44">
        <v>1</v>
      </c>
      <c r="N30" s="27" t="s">
        <v>19</v>
      </c>
      <c r="O30" s="41">
        <v>1</v>
      </c>
      <c r="P30" s="41">
        <v>0</v>
      </c>
      <c r="Q30" s="27" t="s">
        <v>31</v>
      </c>
      <c r="R30" s="10">
        <v>0</v>
      </c>
      <c r="S30" s="10">
        <v>0</v>
      </c>
      <c r="T30" s="10">
        <v>0</v>
      </c>
      <c r="U30" s="10">
        <v>0</v>
      </c>
      <c r="V30" s="10">
        <v>1</v>
      </c>
      <c r="W30" s="41">
        <v>0</v>
      </c>
      <c r="X30" s="28">
        <v>2</v>
      </c>
      <c r="Y30" s="44">
        <v>1</v>
      </c>
      <c r="Z30" s="29" t="s">
        <v>21</v>
      </c>
      <c r="AA30" s="47">
        <v>0</v>
      </c>
      <c r="AB30" s="47">
        <v>0</v>
      </c>
      <c r="AC30" s="47">
        <v>0</v>
      </c>
      <c r="AD30" s="48">
        <v>28</v>
      </c>
      <c r="AE30" s="48">
        <v>0.9</v>
      </c>
      <c r="AF30" s="28"/>
      <c r="AG30" s="31">
        <v>37000</v>
      </c>
      <c r="AH30" s="31">
        <v>37000</v>
      </c>
      <c r="AI30" s="30">
        <f>12+0.4</f>
        <v>12.4</v>
      </c>
      <c r="AJ30" s="8">
        <v>8000</v>
      </c>
      <c r="AK30" s="30"/>
      <c r="AL30" s="30"/>
    </row>
    <row r="31" spans="1:38" ht="20.100000000000001" customHeight="1" x14ac:dyDescent="0.2">
      <c r="A31" s="51" t="s">
        <v>54</v>
      </c>
      <c r="B31" s="2">
        <v>78294.492294080002</v>
      </c>
      <c r="C31" s="43">
        <f t="shared" si="0"/>
        <v>22913.957999999999</v>
      </c>
      <c r="D31" s="43">
        <f t="shared" si="1"/>
        <v>36713.442000000003</v>
      </c>
      <c r="E31" s="43">
        <f t="shared" si="2"/>
        <v>2385.096</v>
      </c>
      <c r="F31" s="43">
        <f t="shared" si="3"/>
        <v>24834.336928052155</v>
      </c>
      <c r="G31" s="43">
        <f t="shared" si="4"/>
        <v>3928.5956722342398</v>
      </c>
      <c r="H31" s="43">
        <f t="shared" si="5"/>
        <v>169069.9208943664</v>
      </c>
      <c r="I31" s="63">
        <v>425.91</v>
      </c>
      <c r="J31" s="69">
        <f t="shared" si="6"/>
        <v>59627.4</v>
      </c>
      <c r="K31" s="69">
        <f t="shared" si="7"/>
        <v>137921.89229408</v>
      </c>
      <c r="L31" s="46" t="s">
        <v>95</v>
      </c>
      <c r="M31" s="44">
        <v>1</v>
      </c>
      <c r="N31" s="22" t="s">
        <v>19</v>
      </c>
      <c r="O31" s="41">
        <v>1</v>
      </c>
      <c r="P31" s="41">
        <v>0</v>
      </c>
      <c r="Q31" s="22" t="s">
        <v>31</v>
      </c>
      <c r="R31" s="10">
        <v>0</v>
      </c>
      <c r="S31" s="10">
        <v>0</v>
      </c>
      <c r="T31" s="10">
        <v>0</v>
      </c>
      <c r="U31" s="10">
        <v>0</v>
      </c>
      <c r="V31" s="10">
        <v>1</v>
      </c>
      <c r="W31" s="41">
        <v>0</v>
      </c>
      <c r="X31" s="23">
        <v>2</v>
      </c>
      <c r="Y31" s="44">
        <v>1</v>
      </c>
      <c r="Z31" s="24" t="s">
        <v>21</v>
      </c>
      <c r="AA31" s="47">
        <v>0</v>
      </c>
      <c r="AB31" s="47">
        <v>0</v>
      </c>
      <c r="AC31" s="47">
        <v>0</v>
      </c>
      <c r="AD31" s="48">
        <v>28</v>
      </c>
      <c r="AE31" s="48">
        <v>0.9</v>
      </c>
      <c r="AF31" s="26">
        <v>140</v>
      </c>
      <c r="AG31" s="26">
        <v>4400</v>
      </c>
      <c r="AH31" s="26">
        <v>11000</v>
      </c>
      <c r="AI31" s="25">
        <v>3.5</v>
      </c>
      <c r="AJ31" s="48">
        <v>2000</v>
      </c>
      <c r="AK31" s="25">
        <v>1500</v>
      </c>
      <c r="AL31" s="25"/>
    </row>
    <row r="32" spans="1:38" ht="20.100000000000001" customHeight="1" x14ac:dyDescent="0.2">
      <c r="A32" s="51" t="s">
        <v>52</v>
      </c>
      <c r="B32" s="2">
        <v>29759.597248000002</v>
      </c>
      <c r="C32" s="43">
        <f t="shared" si="0"/>
        <v>10904.183999999999</v>
      </c>
      <c r="D32" s="43">
        <f t="shared" si="1"/>
        <v>17471.016</v>
      </c>
      <c r="E32" s="43">
        <f t="shared" si="2"/>
        <v>1135.0079999999998</v>
      </c>
      <c r="F32" s="43">
        <f t="shared" si="3"/>
        <v>10490.755528895999</v>
      </c>
      <c r="G32" s="43">
        <f t="shared" si="4"/>
        <v>1659.5545469440001</v>
      </c>
      <c r="H32" s="43">
        <f t="shared" si="5"/>
        <v>71420.11532384</v>
      </c>
      <c r="I32" s="63">
        <v>202.68</v>
      </c>
      <c r="J32" s="69">
        <f t="shared" si="6"/>
        <v>28375.199999999997</v>
      </c>
      <c r="K32" s="69">
        <f t="shared" si="7"/>
        <v>58134.797248000003</v>
      </c>
      <c r="L32" s="46" t="s">
        <v>95</v>
      </c>
      <c r="M32" s="44">
        <v>1</v>
      </c>
      <c r="N32" s="55" t="s">
        <v>19</v>
      </c>
      <c r="O32" s="41">
        <v>1</v>
      </c>
      <c r="P32" s="41">
        <v>0</v>
      </c>
      <c r="Q32" s="55" t="s">
        <v>20</v>
      </c>
      <c r="R32" s="41">
        <v>0</v>
      </c>
      <c r="S32" s="41">
        <v>0</v>
      </c>
      <c r="T32" s="41">
        <v>0</v>
      </c>
      <c r="U32" s="41">
        <v>1</v>
      </c>
      <c r="V32" s="41">
        <v>0</v>
      </c>
      <c r="W32" s="41">
        <v>0</v>
      </c>
      <c r="X32" s="56">
        <v>2</v>
      </c>
      <c r="Y32" s="44">
        <v>1</v>
      </c>
      <c r="Z32" s="55" t="s">
        <v>22</v>
      </c>
      <c r="AA32" s="47">
        <v>0</v>
      </c>
      <c r="AB32" s="47">
        <v>1</v>
      </c>
      <c r="AC32" s="47">
        <v>0</v>
      </c>
      <c r="AD32" s="48">
        <v>21</v>
      </c>
      <c r="AE32" s="48">
        <v>0.9</v>
      </c>
      <c r="AF32" s="56">
        <v>153</v>
      </c>
      <c r="AG32" s="56">
        <v>20000</v>
      </c>
      <c r="AH32" s="56">
        <v>15000</v>
      </c>
      <c r="AI32" s="54">
        <v>3.7</v>
      </c>
      <c r="AJ32" s="54">
        <v>1500</v>
      </c>
      <c r="AK32" s="54"/>
      <c r="AL32" s="54"/>
    </row>
    <row r="33" spans="1:38" ht="20.100000000000001" customHeight="1" x14ac:dyDescent="0.2">
      <c r="A33" s="51" t="s">
        <v>53</v>
      </c>
      <c r="B33" s="2">
        <v>29860.267950000001</v>
      </c>
      <c r="C33" s="43">
        <f t="shared" si="0"/>
        <v>12413.273999999999</v>
      </c>
      <c r="D33" s="43">
        <f t="shared" si="1"/>
        <v>19888.925999999999</v>
      </c>
      <c r="E33" s="43">
        <f t="shared" si="2"/>
        <v>1292.088</v>
      </c>
      <c r="F33" s="43">
        <f t="shared" si="3"/>
        <v>11231.456403149999</v>
      </c>
      <c r="G33" s="43">
        <f t="shared" si="4"/>
        <v>1776.7275666</v>
      </c>
      <c r="H33" s="43">
        <f t="shared" si="5"/>
        <v>76462.739919750005</v>
      </c>
      <c r="I33" s="63">
        <v>230.73</v>
      </c>
      <c r="J33" s="69">
        <f t="shared" si="6"/>
        <v>32302.199999999997</v>
      </c>
      <c r="K33" s="69">
        <f t="shared" si="7"/>
        <v>62162.467949999998</v>
      </c>
      <c r="L33" s="46" t="s">
        <v>95</v>
      </c>
      <c r="M33" s="44">
        <v>1</v>
      </c>
      <c r="N33" s="55" t="s">
        <v>19</v>
      </c>
      <c r="O33" s="41">
        <v>1</v>
      </c>
      <c r="P33" s="41">
        <v>0</v>
      </c>
      <c r="Q33" s="55" t="s">
        <v>20</v>
      </c>
      <c r="R33" s="41">
        <v>0</v>
      </c>
      <c r="S33" s="41">
        <v>0</v>
      </c>
      <c r="T33" s="41">
        <v>0</v>
      </c>
      <c r="U33" s="41">
        <v>1</v>
      </c>
      <c r="V33" s="41">
        <v>0</v>
      </c>
      <c r="W33" s="41">
        <v>0</v>
      </c>
      <c r="X33" s="56">
        <v>2</v>
      </c>
      <c r="Y33" s="44">
        <v>1</v>
      </c>
      <c r="Z33" s="55" t="s">
        <v>22</v>
      </c>
      <c r="AA33" s="47">
        <v>0</v>
      </c>
      <c r="AB33" s="47">
        <v>1</v>
      </c>
      <c r="AC33" s="47">
        <v>0</v>
      </c>
      <c r="AD33" s="48">
        <v>21</v>
      </c>
      <c r="AE33" s="48">
        <v>0.9</v>
      </c>
      <c r="AF33" s="56">
        <v>232</v>
      </c>
      <c r="AG33" s="56">
        <v>20000</v>
      </c>
      <c r="AH33" s="56">
        <v>15000</v>
      </c>
      <c r="AI33" s="54">
        <v>3.9</v>
      </c>
      <c r="AJ33" s="54">
        <v>1500</v>
      </c>
      <c r="AK33" s="54"/>
      <c r="AL33" s="54"/>
    </row>
    <row r="34" spans="1:38" ht="20.100000000000001" customHeight="1" x14ac:dyDescent="0.2">
      <c r="A34" s="51" t="s">
        <v>36</v>
      </c>
      <c r="B34" s="2">
        <v>45791.905188900004</v>
      </c>
      <c r="C34" s="43">
        <f t="shared" si="0"/>
        <v>22868.227999999999</v>
      </c>
      <c r="D34" s="43">
        <f t="shared" si="1"/>
        <v>36640.171999999999</v>
      </c>
      <c r="E34" s="43">
        <f t="shared" si="2"/>
        <v>2380.3359999999998</v>
      </c>
      <c r="F34" s="43">
        <f t="shared" si="3"/>
        <v>19059.473490435299</v>
      </c>
      <c r="G34" s="43">
        <f t="shared" si="4"/>
        <v>3015.0579532892002</v>
      </c>
      <c r="H34" s="43">
        <f t="shared" si="5"/>
        <v>129755.1726326245</v>
      </c>
      <c r="I34" s="63">
        <v>425.06</v>
      </c>
      <c r="J34" s="69">
        <f t="shared" si="6"/>
        <v>59508.399999999994</v>
      </c>
      <c r="K34" s="69">
        <f t="shared" si="7"/>
        <v>105300.30518890001</v>
      </c>
      <c r="L34" s="46" t="s">
        <v>95</v>
      </c>
      <c r="M34" s="44">
        <v>1</v>
      </c>
      <c r="N34" s="14" t="s">
        <v>19</v>
      </c>
      <c r="O34" s="41">
        <v>1</v>
      </c>
      <c r="P34" s="41">
        <v>0</v>
      </c>
      <c r="Q34" s="14" t="s">
        <v>20</v>
      </c>
      <c r="R34" s="41">
        <v>0</v>
      </c>
      <c r="S34" s="41">
        <v>0</v>
      </c>
      <c r="T34" s="41">
        <v>0</v>
      </c>
      <c r="U34" s="41">
        <v>1</v>
      </c>
      <c r="V34" s="41">
        <v>0</v>
      </c>
      <c r="W34" s="41">
        <v>0</v>
      </c>
      <c r="X34" s="15">
        <v>2</v>
      </c>
      <c r="Y34" s="44">
        <v>1</v>
      </c>
      <c r="Z34" s="14" t="s">
        <v>22</v>
      </c>
      <c r="AA34" s="47">
        <v>0</v>
      </c>
      <c r="AB34" s="47">
        <v>1</v>
      </c>
      <c r="AC34" s="47">
        <v>0</v>
      </c>
      <c r="AD34" s="48">
        <v>28</v>
      </c>
      <c r="AE34" s="48">
        <v>0.9</v>
      </c>
      <c r="AF34" s="15">
        <v>208.5</v>
      </c>
      <c r="AG34" s="15"/>
      <c r="AH34" s="15">
        <v>17000</v>
      </c>
      <c r="AI34" s="16">
        <f>3.9+0.4</f>
        <v>4.3</v>
      </c>
      <c r="AJ34" s="16"/>
      <c r="AK34" s="16">
        <v>3000</v>
      </c>
      <c r="AL34" s="16"/>
    </row>
    <row r="35" spans="1:38" ht="20.100000000000001" customHeight="1" x14ac:dyDescent="0.2">
      <c r="A35" s="51" t="s">
        <v>37</v>
      </c>
      <c r="B35" s="2">
        <v>61057.448810333997</v>
      </c>
      <c r="C35" s="43">
        <f t="shared" si="0"/>
        <v>21870.775999999998</v>
      </c>
      <c r="D35" s="43">
        <f t="shared" si="1"/>
        <v>35042.023999999998</v>
      </c>
      <c r="E35" s="43">
        <f t="shared" si="2"/>
        <v>2276.5119999999997</v>
      </c>
      <c r="F35" s="43">
        <f t="shared" si="3"/>
        <v>21283.676663429116</v>
      </c>
      <c r="G35" s="43">
        <f t="shared" si="4"/>
        <v>3366.9093026893515</v>
      </c>
      <c r="H35" s="43">
        <f t="shared" si="5"/>
        <v>144897.34677645244</v>
      </c>
      <c r="I35" s="63">
        <v>406.52</v>
      </c>
      <c r="J35" s="69">
        <f t="shared" si="6"/>
        <v>56912.799999999996</v>
      </c>
      <c r="K35" s="69">
        <f t="shared" si="7"/>
        <v>117970.24881033399</v>
      </c>
      <c r="L35" s="46" t="s">
        <v>95</v>
      </c>
      <c r="M35" s="44">
        <v>1</v>
      </c>
      <c r="N35" s="17" t="s">
        <v>19</v>
      </c>
      <c r="O35" s="41">
        <v>1</v>
      </c>
      <c r="P35" s="41">
        <v>0</v>
      </c>
      <c r="Q35" s="17" t="s">
        <v>20</v>
      </c>
      <c r="R35" s="41">
        <v>0</v>
      </c>
      <c r="S35" s="41">
        <v>0</v>
      </c>
      <c r="T35" s="41">
        <v>0</v>
      </c>
      <c r="U35" s="41">
        <v>1</v>
      </c>
      <c r="V35" s="41">
        <v>0</v>
      </c>
      <c r="W35" s="41">
        <v>0</v>
      </c>
      <c r="X35" s="18">
        <v>2</v>
      </c>
      <c r="Y35" s="44">
        <v>1</v>
      </c>
      <c r="Z35" s="17" t="s">
        <v>22</v>
      </c>
      <c r="AA35" s="47">
        <v>0</v>
      </c>
      <c r="AB35" s="47">
        <v>1</v>
      </c>
      <c r="AC35" s="47">
        <v>0</v>
      </c>
      <c r="AD35" s="48">
        <v>28</v>
      </c>
      <c r="AE35" s="48">
        <v>0.9</v>
      </c>
      <c r="AF35" s="18">
        <v>133.5</v>
      </c>
      <c r="AG35" s="18"/>
      <c r="AH35" s="18">
        <v>17000</v>
      </c>
      <c r="AI35" s="19">
        <f>3.2+0.4</f>
        <v>3.6</v>
      </c>
      <c r="AJ35" s="19"/>
      <c r="AK35" s="16">
        <v>3000</v>
      </c>
      <c r="AL35" s="19"/>
    </row>
    <row r="36" spans="1:38" ht="20.100000000000001" customHeight="1" x14ac:dyDescent="0.2">
      <c r="A36" s="51" t="s">
        <v>46</v>
      </c>
      <c r="B36" s="2">
        <v>81342.877750090003</v>
      </c>
      <c r="C36" s="43">
        <f t="shared" si="0"/>
        <v>22008.503999999997</v>
      </c>
      <c r="D36" s="43">
        <f t="shared" si="1"/>
        <v>35262.695999999996</v>
      </c>
      <c r="E36" s="43">
        <f t="shared" si="2"/>
        <v>2290.848</v>
      </c>
      <c r="F36" s="43">
        <f t="shared" si="3"/>
        <v>24940.171857765927</v>
      </c>
      <c r="G36" s="43">
        <f t="shared" si="4"/>
        <v>3945.3379210025196</v>
      </c>
      <c r="H36" s="43">
        <f t="shared" si="5"/>
        <v>169790.43552885845</v>
      </c>
      <c r="I36" s="63">
        <v>409.08</v>
      </c>
      <c r="J36" s="69">
        <f t="shared" si="6"/>
        <v>57271.199999999997</v>
      </c>
      <c r="K36" s="69">
        <f t="shared" si="7"/>
        <v>138614.07775008999</v>
      </c>
      <c r="L36" s="46" t="s">
        <v>95</v>
      </c>
      <c r="M36" s="44">
        <v>1</v>
      </c>
      <c r="N36" s="55" t="s">
        <v>19</v>
      </c>
      <c r="O36" s="41">
        <v>1</v>
      </c>
      <c r="P36" s="41">
        <v>0</v>
      </c>
      <c r="Q36" s="55" t="s">
        <v>20</v>
      </c>
      <c r="R36" s="41">
        <v>0</v>
      </c>
      <c r="S36" s="41">
        <v>0</v>
      </c>
      <c r="T36" s="41">
        <v>0</v>
      </c>
      <c r="U36" s="41">
        <v>1</v>
      </c>
      <c r="V36" s="41">
        <v>0</v>
      </c>
      <c r="W36" s="41">
        <v>0</v>
      </c>
      <c r="X36" s="56">
        <v>2</v>
      </c>
      <c r="Y36" s="44">
        <v>1</v>
      </c>
      <c r="Z36" s="55" t="s">
        <v>22</v>
      </c>
      <c r="AA36" s="47">
        <v>0</v>
      </c>
      <c r="AB36" s="47">
        <v>1</v>
      </c>
      <c r="AC36" s="47">
        <v>0</v>
      </c>
      <c r="AD36" s="48">
        <v>28</v>
      </c>
      <c r="AE36" s="48">
        <v>0.9</v>
      </c>
      <c r="AF36" s="56">
        <v>131</v>
      </c>
      <c r="AG36" s="56"/>
      <c r="AH36" s="56">
        <v>95000</v>
      </c>
      <c r="AI36" s="54">
        <f>8+0.4</f>
        <v>8.4</v>
      </c>
      <c r="AJ36" s="54"/>
      <c r="AK36" s="16">
        <v>3000</v>
      </c>
      <c r="AL36" s="54"/>
    </row>
    <row r="37" spans="1:38" ht="20.100000000000001" customHeight="1" x14ac:dyDescent="0.2">
      <c r="A37" s="51" t="s">
        <v>56</v>
      </c>
      <c r="B37" s="2">
        <v>111895.96998230398</v>
      </c>
      <c r="C37" s="43">
        <f t="shared" si="0"/>
        <v>17071.815999999999</v>
      </c>
      <c r="D37" s="43">
        <f t="shared" si="1"/>
        <v>27352.984</v>
      </c>
      <c r="E37" s="43">
        <f t="shared" si="2"/>
        <v>1776.9920000000002</v>
      </c>
      <c r="F37" s="43">
        <f t="shared" si="3"/>
        <v>27983.303870867803</v>
      </c>
      <c r="G37" s="43">
        <f t="shared" si="4"/>
        <v>4426.737335504512</v>
      </c>
      <c r="H37" s="43">
        <f t="shared" si="5"/>
        <v>190507.80318867628</v>
      </c>
      <c r="I37" s="63">
        <v>317.32</v>
      </c>
      <c r="J37" s="69">
        <f t="shared" si="6"/>
        <v>44424.800000000003</v>
      </c>
      <c r="K37" s="69">
        <f t="shared" si="7"/>
        <v>156320.76998230399</v>
      </c>
      <c r="L37" s="46" t="s">
        <v>95</v>
      </c>
      <c r="M37" s="44">
        <v>1</v>
      </c>
      <c r="N37" s="32" t="s">
        <v>18</v>
      </c>
      <c r="O37" s="10">
        <v>1</v>
      </c>
      <c r="P37" s="10">
        <v>0</v>
      </c>
      <c r="Q37" s="32" t="s">
        <v>31</v>
      </c>
      <c r="R37" s="10">
        <v>0</v>
      </c>
      <c r="S37" s="10">
        <v>0</v>
      </c>
      <c r="T37" s="10">
        <v>0</v>
      </c>
      <c r="U37" s="10">
        <v>0</v>
      </c>
      <c r="V37" s="10">
        <v>1</v>
      </c>
      <c r="W37" s="41">
        <v>0</v>
      </c>
      <c r="X37" s="33">
        <v>4</v>
      </c>
      <c r="Y37" s="44">
        <v>1</v>
      </c>
      <c r="Z37" s="32" t="s">
        <v>21</v>
      </c>
      <c r="AA37" s="47">
        <v>0</v>
      </c>
      <c r="AB37" s="47">
        <v>0</v>
      </c>
      <c r="AC37" s="47">
        <v>0</v>
      </c>
      <c r="AD37" s="32">
        <v>35</v>
      </c>
      <c r="AE37" s="48">
        <v>0.9</v>
      </c>
      <c r="AF37" s="33">
        <v>214.1</v>
      </c>
      <c r="AG37" s="33">
        <v>32000</v>
      </c>
      <c r="AH37" s="33">
        <v>25000</v>
      </c>
      <c r="AI37" s="34">
        <v>3.93</v>
      </c>
      <c r="AJ37" s="8">
        <v>8000</v>
      </c>
      <c r="AK37" s="34"/>
      <c r="AL37" s="34"/>
    </row>
    <row r="38" spans="1:38" ht="20.100000000000001" customHeight="1" x14ac:dyDescent="0.2">
      <c r="A38" s="51" t="s">
        <v>57</v>
      </c>
      <c r="B38" s="2">
        <v>136163.63716052502</v>
      </c>
      <c r="C38" s="43">
        <f t="shared" si="0"/>
        <v>17886.347999999998</v>
      </c>
      <c r="D38" s="43">
        <f t="shared" si="1"/>
        <v>28658.052</v>
      </c>
      <c r="E38" s="43">
        <f t="shared" si="2"/>
        <v>1861.7759999999998</v>
      </c>
      <c r="F38" s="43">
        <f t="shared" si="3"/>
        <v>32668.856929412927</v>
      </c>
      <c r="G38" s="43">
        <f t="shared" si="4"/>
        <v>5167.9547684947011</v>
      </c>
      <c r="H38" s="43">
        <f t="shared" si="5"/>
        <v>222406.62485843265</v>
      </c>
      <c r="I38" s="63">
        <v>332.46</v>
      </c>
      <c r="J38" s="69">
        <f t="shared" si="6"/>
        <v>46544.399999999994</v>
      </c>
      <c r="K38" s="69">
        <f t="shared" si="7"/>
        <v>182708.03716052501</v>
      </c>
      <c r="L38" s="46" t="s">
        <v>95</v>
      </c>
      <c r="M38" s="44">
        <v>1</v>
      </c>
      <c r="N38" s="32" t="s">
        <v>18</v>
      </c>
      <c r="O38" s="10">
        <v>1</v>
      </c>
      <c r="P38" s="10">
        <v>0</v>
      </c>
      <c r="Q38" s="32" t="s">
        <v>31</v>
      </c>
      <c r="R38" s="10">
        <v>0</v>
      </c>
      <c r="S38" s="10">
        <v>0</v>
      </c>
      <c r="T38" s="10">
        <v>0</v>
      </c>
      <c r="U38" s="10">
        <v>0</v>
      </c>
      <c r="V38" s="10">
        <v>1</v>
      </c>
      <c r="W38" s="41">
        <v>0</v>
      </c>
      <c r="X38" s="33">
        <v>4</v>
      </c>
      <c r="Y38" s="44">
        <v>1</v>
      </c>
      <c r="Z38" s="32" t="s">
        <v>21</v>
      </c>
      <c r="AA38" s="47">
        <v>0</v>
      </c>
      <c r="AB38" s="47">
        <v>0</v>
      </c>
      <c r="AC38" s="47">
        <v>0</v>
      </c>
      <c r="AD38" s="32">
        <v>35</v>
      </c>
      <c r="AE38" s="48">
        <v>0.9</v>
      </c>
      <c r="AF38" s="33">
        <v>540.5</v>
      </c>
      <c r="AG38" s="33">
        <v>149000</v>
      </c>
      <c r="AH38" s="33">
        <v>92000</v>
      </c>
      <c r="AI38" s="34">
        <v>19</v>
      </c>
      <c r="AJ38" s="8">
        <v>8000</v>
      </c>
      <c r="AK38" s="34"/>
      <c r="AL38" s="34"/>
    </row>
    <row r="39" spans="1:38" ht="20.100000000000001" customHeight="1" x14ac:dyDescent="0.2">
      <c r="A39" s="51" t="s">
        <v>38</v>
      </c>
      <c r="B39" s="2">
        <v>165612.93228950002</v>
      </c>
      <c r="C39" s="43">
        <f t="shared" si="0"/>
        <v>20427.859999999997</v>
      </c>
      <c r="D39" s="43">
        <f t="shared" si="1"/>
        <v>32730.14</v>
      </c>
      <c r="E39" s="43">
        <f t="shared" si="2"/>
        <v>2126.3200000000002</v>
      </c>
      <c r="F39" s="43">
        <f t="shared" si="3"/>
        <v>39098.813655241502</v>
      </c>
      <c r="G39" s="43">
        <f t="shared" si="4"/>
        <v>6185.123064106001</v>
      </c>
      <c r="H39" s="43">
        <f t="shared" si="5"/>
        <v>266181.18900884752</v>
      </c>
      <c r="I39" s="63">
        <v>379.7</v>
      </c>
      <c r="J39" s="69">
        <f t="shared" si="6"/>
        <v>53158</v>
      </c>
      <c r="K39" s="69">
        <f t="shared" si="7"/>
        <v>218770.93228950002</v>
      </c>
      <c r="L39" s="46" t="s">
        <v>95</v>
      </c>
      <c r="M39" s="44">
        <v>1</v>
      </c>
      <c r="N39" s="17" t="s">
        <v>19</v>
      </c>
      <c r="O39" s="41">
        <v>1</v>
      </c>
      <c r="P39" s="41">
        <v>0</v>
      </c>
      <c r="Q39" s="17" t="s">
        <v>20</v>
      </c>
      <c r="R39" s="41">
        <v>0</v>
      </c>
      <c r="S39" s="41">
        <v>0</v>
      </c>
      <c r="T39" s="41">
        <v>0</v>
      </c>
      <c r="U39" s="41">
        <v>1</v>
      </c>
      <c r="V39" s="41">
        <v>0</v>
      </c>
      <c r="W39" s="41">
        <v>0</v>
      </c>
      <c r="X39" s="18">
        <v>2</v>
      </c>
      <c r="Y39" s="44">
        <v>1</v>
      </c>
      <c r="Z39" s="17" t="s">
        <v>39</v>
      </c>
      <c r="AA39" s="47">
        <v>1</v>
      </c>
      <c r="AB39" s="47">
        <v>0</v>
      </c>
      <c r="AC39" s="47">
        <v>0</v>
      </c>
      <c r="AD39" s="48">
        <v>28</v>
      </c>
      <c r="AE39" s="48">
        <v>0.9</v>
      </c>
      <c r="AF39" s="18">
        <v>152</v>
      </c>
      <c r="AG39" s="18">
        <v>5000</v>
      </c>
      <c r="AH39" s="18">
        <v>3000</v>
      </c>
      <c r="AI39" s="16">
        <f>3.5+0.4</f>
        <v>3.9</v>
      </c>
      <c r="AJ39" s="8">
        <v>8000</v>
      </c>
      <c r="AK39" s="16"/>
      <c r="AL39" s="16"/>
    </row>
    <row r="40" spans="1:38" ht="20.100000000000001" customHeight="1" x14ac:dyDescent="0.2">
      <c r="A40" s="42" t="s">
        <v>58</v>
      </c>
      <c r="B40" s="43">
        <v>6185.6008410000004</v>
      </c>
      <c r="C40" s="43">
        <f t="shared" si="0"/>
        <v>7643.3659999999991</v>
      </c>
      <c r="D40" s="43">
        <f t="shared" si="1"/>
        <v>12246.433999999999</v>
      </c>
      <c r="E40" s="43">
        <f t="shared" si="2"/>
        <v>795.59199999999998</v>
      </c>
      <c r="F40" s="43">
        <f t="shared" si="3"/>
        <v>4756.165732857</v>
      </c>
      <c r="G40" s="43">
        <f t="shared" si="4"/>
        <v>752.38779954799998</v>
      </c>
      <c r="H40" s="43">
        <f t="shared" si="5"/>
        <v>32379.546373404999</v>
      </c>
      <c r="I40" s="66">
        <v>142.07</v>
      </c>
      <c r="J40" s="69">
        <f t="shared" si="6"/>
        <v>19889.8</v>
      </c>
      <c r="K40" s="69">
        <f t="shared" si="7"/>
        <v>26075.400840999999</v>
      </c>
      <c r="L40" s="46" t="s">
        <v>95</v>
      </c>
      <c r="M40" s="41">
        <v>0</v>
      </c>
      <c r="N40" s="47" t="s">
        <v>21</v>
      </c>
      <c r="O40" s="41">
        <v>0</v>
      </c>
      <c r="P40" s="41">
        <v>0</v>
      </c>
      <c r="Q40" s="47" t="s">
        <v>21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7">
        <v>0</v>
      </c>
      <c r="Y40" s="41">
        <v>0</v>
      </c>
      <c r="Z40" s="47" t="s">
        <v>21</v>
      </c>
      <c r="AA40" s="47">
        <v>0</v>
      </c>
      <c r="AB40" s="47">
        <v>0</v>
      </c>
      <c r="AC40" s="47">
        <v>0</v>
      </c>
      <c r="AD40" s="48">
        <v>28</v>
      </c>
      <c r="AE40" s="48">
        <v>150</v>
      </c>
      <c r="AF40" s="41">
        <v>82</v>
      </c>
      <c r="AG40" s="41">
        <v>50642</v>
      </c>
      <c r="AH40" s="41">
        <v>50642</v>
      </c>
      <c r="AI40" s="48">
        <v>5.01</v>
      </c>
      <c r="AJ40" s="48">
        <v>2000</v>
      </c>
      <c r="AK40" s="48"/>
      <c r="AL40" s="48"/>
    </row>
    <row r="41" spans="1:38" ht="20.100000000000001" customHeight="1" x14ac:dyDescent="0.2">
      <c r="A41" s="51" t="s">
        <v>47</v>
      </c>
      <c r="B41" s="2">
        <v>17000.00992018</v>
      </c>
      <c r="C41" s="43">
        <f t="shared" si="0"/>
        <v>36803.504000000001</v>
      </c>
      <c r="D41" s="43">
        <f t="shared" si="1"/>
        <v>58967.696000000004</v>
      </c>
      <c r="E41" s="43">
        <f t="shared" si="2"/>
        <v>3830.8480000000004</v>
      </c>
      <c r="F41" s="43">
        <f t="shared" si="3"/>
        <v>20638.56425187186</v>
      </c>
      <c r="G41" s="43">
        <f t="shared" si="4"/>
        <v>3264.8576217650402</v>
      </c>
      <c r="H41" s="43">
        <f t="shared" si="5"/>
        <v>140505.47979381689</v>
      </c>
      <c r="I41" s="63">
        <v>684.08</v>
      </c>
      <c r="J41" s="69">
        <f t="shared" si="6"/>
        <v>95771.200000000012</v>
      </c>
      <c r="K41" s="69">
        <f t="shared" si="7"/>
        <v>112771.20992018</v>
      </c>
      <c r="L41" s="46" t="s">
        <v>95</v>
      </c>
      <c r="M41" s="44">
        <v>1</v>
      </c>
      <c r="N41" s="20" t="s">
        <v>18</v>
      </c>
      <c r="O41" s="10">
        <v>1</v>
      </c>
      <c r="P41" s="10">
        <v>0</v>
      </c>
      <c r="Q41" s="20" t="s">
        <v>31</v>
      </c>
      <c r="R41" s="10">
        <v>0</v>
      </c>
      <c r="S41" s="10">
        <v>0</v>
      </c>
      <c r="T41" s="10">
        <v>0</v>
      </c>
      <c r="U41" s="10">
        <v>0</v>
      </c>
      <c r="V41" s="10">
        <v>1</v>
      </c>
      <c r="W41" s="41">
        <v>0</v>
      </c>
      <c r="X41" s="21">
        <v>2</v>
      </c>
      <c r="Y41" s="41">
        <v>0</v>
      </c>
      <c r="Z41" s="20" t="s">
        <v>21</v>
      </c>
      <c r="AA41" s="47">
        <v>0</v>
      </c>
      <c r="AB41" s="47">
        <v>0</v>
      </c>
      <c r="AC41" s="47">
        <v>0</v>
      </c>
      <c r="AD41" s="48">
        <v>28</v>
      </c>
      <c r="AE41" s="48">
        <v>0.9</v>
      </c>
      <c r="AF41" s="21">
        <v>167</v>
      </c>
      <c r="AG41" s="21"/>
      <c r="AH41" s="21"/>
      <c r="AI41" s="20"/>
      <c r="AJ41" s="20"/>
      <c r="AK41" s="20"/>
      <c r="AL41" s="20"/>
    </row>
    <row r="42" spans="1:38" ht="20.100000000000001" customHeight="1" x14ac:dyDescent="0.2">
      <c r="A42" s="42" t="s">
        <v>63</v>
      </c>
      <c r="B42" s="43">
        <v>9618.8682939999999</v>
      </c>
      <c r="C42" s="43">
        <f t="shared" ref="C42:C45" si="8">I42*53.8</f>
        <v>7270.5319999999992</v>
      </c>
      <c r="D42" s="43">
        <f t="shared" ref="D42:D45" si="9">I42*86.2</f>
        <v>11649.067999999999</v>
      </c>
      <c r="E42" s="43">
        <f t="shared" ref="E42:E45" si="10">(C42+D42)*0.04</f>
        <v>756.78399999999999</v>
      </c>
      <c r="F42" s="43">
        <f t="shared" ref="F42:F45" si="11">SUM(B42:E42)*0.177</f>
        <v>5185.2596560379998</v>
      </c>
      <c r="G42" s="43">
        <f t="shared" ref="G42:G45" si="12">SUM(B42:E42)*0.028</f>
        <v>820.26706423199994</v>
      </c>
      <c r="H42" s="43">
        <f t="shared" ref="H42:H45" si="13">SUM(B42:G42)</f>
        <v>35300.779014269996</v>
      </c>
      <c r="I42" s="66">
        <v>135.13999999999999</v>
      </c>
      <c r="J42" s="69">
        <f t="shared" ref="J42:J45" si="14">C42+D42</f>
        <v>18919.599999999999</v>
      </c>
      <c r="K42" s="69">
        <f t="shared" ref="K42:K45" si="15">B42+C42+D42</f>
        <v>28538.468293999998</v>
      </c>
      <c r="L42" s="46" t="s">
        <v>95</v>
      </c>
      <c r="M42" s="44">
        <v>1</v>
      </c>
      <c r="N42" s="47" t="s">
        <v>21</v>
      </c>
      <c r="O42" s="41">
        <v>0</v>
      </c>
      <c r="P42" s="41">
        <v>0</v>
      </c>
      <c r="Q42" s="47" t="s">
        <v>21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7">
        <v>0</v>
      </c>
      <c r="Y42" s="41">
        <v>0</v>
      </c>
      <c r="Z42" s="47" t="s">
        <v>21</v>
      </c>
      <c r="AA42" s="47">
        <v>0</v>
      </c>
      <c r="AB42" s="47">
        <v>0</v>
      </c>
      <c r="AC42" s="47">
        <v>0</v>
      </c>
      <c r="AD42" s="48">
        <v>28</v>
      </c>
      <c r="AE42" s="48">
        <v>0.9</v>
      </c>
      <c r="AF42" s="41">
        <v>65</v>
      </c>
      <c r="AG42" s="41">
        <v>90000</v>
      </c>
      <c r="AH42" s="41">
        <v>65000</v>
      </c>
      <c r="AI42" s="45">
        <v>4.24</v>
      </c>
      <c r="AJ42" s="48">
        <v>2000</v>
      </c>
      <c r="AK42" s="48"/>
      <c r="AL42" s="48"/>
    </row>
    <row r="43" spans="1:38" ht="20.100000000000001" customHeight="1" x14ac:dyDescent="0.2">
      <c r="A43" s="42" t="s">
        <v>64</v>
      </c>
      <c r="B43" s="43">
        <v>7998.0239320000001</v>
      </c>
      <c r="C43" s="43">
        <f t="shared" si="8"/>
        <v>4763.4520000000002</v>
      </c>
      <c r="D43" s="43">
        <f t="shared" si="9"/>
        <v>7632.148000000001</v>
      </c>
      <c r="E43" s="43">
        <f t="shared" si="10"/>
        <v>495.82400000000013</v>
      </c>
      <c r="F43" s="43">
        <f t="shared" si="11"/>
        <v>3697.4322839640004</v>
      </c>
      <c r="G43" s="43">
        <f t="shared" si="12"/>
        <v>584.90454209600011</v>
      </c>
      <c r="H43" s="43">
        <f t="shared" si="13"/>
        <v>25171.784758060003</v>
      </c>
      <c r="I43" s="66">
        <v>88.54</v>
      </c>
      <c r="J43" s="69">
        <f t="shared" si="14"/>
        <v>12395.600000000002</v>
      </c>
      <c r="K43" s="69">
        <f t="shared" si="15"/>
        <v>20393.623932000002</v>
      </c>
      <c r="L43" s="46" t="s">
        <v>95</v>
      </c>
      <c r="M43" s="41">
        <v>0</v>
      </c>
      <c r="N43" s="47" t="s">
        <v>21</v>
      </c>
      <c r="O43" s="41">
        <v>0</v>
      </c>
      <c r="P43" s="41">
        <v>0</v>
      </c>
      <c r="Q43" s="47" t="s">
        <v>21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7">
        <v>0</v>
      </c>
      <c r="Y43" s="41">
        <v>0</v>
      </c>
      <c r="Z43" s="47" t="s">
        <v>21</v>
      </c>
      <c r="AA43" s="47">
        <v>0</v>
      </c>
      <c r="AB43" s="47">
        <v>0</v>
      </c>
      <c r="AC43" s="47">
        <v>0</v>
      </c>
      <c r="AD43" s="48">
        <v>28</v>
      </c>
      <c r="AE43" s="48">
        <v>0.9</v>
      </c>
      <c r="AF43" s="41">
        <v>26.5</v>
      </c>
      <c r="AG43" s="41">
        <v>93000</v>
      </c>
      <c r="AH43" s="41">
        <v>64000</v>
      </c>
      <c r="AI43" s="48">
        <v>3.89</v>
      </c>
      <c r="AJ43" s="48">
        <v>2000</v>
      </c>
      <c r="AK43" s="48"/>
      <c r="AL43" s="48"/>
    </row>
    <row r="44" spans="1:38" ht="20.100000000000001" customHeight="1" x14ac:dyDescent="0.2">
      <c r="A44" s="42" t="s">
        <v>65</v>
      </c>
      <c r="B44" s="43">
        <v>5083.5400220000001</v>
      </c>
      <c r="C44" s="43">
        <f t="shared" si="8"/>
        <v>4052.7539999999999</v>
      </c>
      <c r="D44" s="43">
        <f t="shared" si="9"/>
        <v>6493.4459999999999</v>
      </c>
      <c r="E44" s="43">
        <f t="shared" si="10"/>
        <v>421.84800000000001</v>
      </c>
      <c r="F44" s="43">
        <f t="shared" si="11"/>
        <v>2841.1310798939999</v>
      </c>
      <c r="G44" s="43">
        <f t="shared" si="12"/>
        <v>449.444464616</v>
      </c>
      <c r="H44" s="43">
        <f t="shared" si="13"/>
        <v>19342.16356651</v>
      </c>
      <c r="I44" s="66">
        <v>75.33</v>
      </c>
      <c r="J44" s="69">
        <f t="shared" si="14"/>
        <v>10546.2</v>
      </c>
      <c r="K44" s="69">
        <f t="shared" si="15"/>
        <v>15629.740022</v>
      </c>
      <c r="L44" s="46" t="s">
        <v>95</v>
      </c>
      <c r="M44" s="41">
        <v>0</v>
      </c>
      <c r="N44" s="47" t="s">
        <v>21</v>
      </c>
      <c r="O44" s="41">
        <v>0</v>
      </c>
      <c r="P44" s="41">
        <v>0</v>
      </c>
      <c r="Q44" s="47" t="s">
        <v>21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7">
        <v>0</v>
      </c>
      <c r="Y44" s="41">
        <v>0</v>
      </c>
      <c r="Z44" s="47" t="s">
        <v>21</v>
      </c>
      <c r="AA44" s="47">
        <v>0</v>
      </c>
      <c r="AB44" s="47">
        <v>0</v>
      </c>
      <c r="AC44" s="47">
        <v>0</v>
      </c>
      <c r="AD44" s="48">
        <v>28</v>
      </c>
      <c r="AE44" s="48">
        <v>0.9</v>
      </c>
      <c r="AF44" s="41">
        <v>102</v>
      </c>
      <c r="AG44" s="41">
        <v>38000</v>
      </c>
      <c r="AH44" s="41">
        <v>28000</v>
      </c>
      <c r="AI44" s="48">
        <v>1.72</v>
      </c>
      <c r="AJ44" s="48">
        <v>2000</v>
      </c>
      <c r="AK44" s="48"/>
      <c r="AL44" s="48"/>
    </row>
    <row r="45" spans="1:38" ht="20.100000000000001" customHeight="1" x14ac:dyDescent="0.2">
      <c r="A45" s="42" t="s">
        <v>66</v>
      </c>
      <c r="B45" s="43">
        <v>4592.0519169999998</v>
      </c>
      <c r="C45" s="43">
        <f t="shared" si="8"/>
        <v>5180.402</v>
      </c>
      <c r="D45" s="43">
        <f t="shared" si="9"/>
        <v>8300.1980000000003</v>
      </c>
      <c r="E45" s="43">
        <f t="shared" si="10"/>
        <v>539.22400000000005</v>
      </c>
      <c r="F45" s="43">
        <f t="shared" si="11"/>
        <v>3294.3020373089994</v>
      </c>
      <c r="G45" s="43">
        <f t="shared" si="12"/>
        <v>521.13252567599989</v>
      </c>
      <c r="H45" s="43">
        <f t="shared" si="13"/>
        <v>22427.310479984997</v>
      </c>
      <c r="I45" s="66">
        <v>96.29</v>
      </c>
      <c r="J45" s="69">
        <f t="shared" si="14"/>
        <v>13480.6</v>
      </c>
      <c r="K45" s="69">
        <f t="shared" si="15"/>
        <v>18072.651916999999</v>
      </c>
      <c r="L45" s="46" t="s">
        <v>95</v>
      </c>
      <c r="M45" s="44">
        <v>1</v>
      </c>
      <c r="N45" s="47" t="s">
        <v>21</v>
      </c>
      <c r="O45" s="41">
        <v>0</v>
      </c>
      <c r="P45" s="41">
        <v>0</v>
      </c>
      <c r="Q45" s="47" t="s">
        <v>21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7">
        <v>0</v>
      </c>
      <c r="Y45" s="41">
        <v>0</v>
      </c>
      <c r="Z45" s="47" t="s">
        <v>21</v>
      </c>
      <c r="AA45" s="47">
        <v>0</v>
      </c>
      <c r="AB45" s="47">
        <v>0</v>
      </c>
      <c r="AC45" s="47">
        <v>0</v>
      </c>
      <c r="AD45" s="48">
        <v>28</v>
      </c>
      <c r="AE45" s="48">
        <v>0.9</v>
      </c>
      <c r="AF45" s="41">
        <v>80</v>
      </c>
      <c r="AG45" s="41">
        <v>18209</v>
      </c>
      <c r="AH45" s="41">
        <v>18209</v>
      </c>
      <c r="AI45" s="48">
        <v>1.04</v>
      </c>
      <c r="AJ45" s="48">
        <v>2000</v>
      </c>
      <c r="AK45" s="48"/>
      <c r="AL45" s="48"/>
    </row>
  </sheetData>
  <autoFilter ref="B1:AL45" xr:uid="{D7746045-75E2-4721-9C23-5D34B56FFB2F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EF2B-342E-4BBB-A870-B90D059D006C}">
  <dimension ref="A1:AL26"/>
  <sheetViews>
    <sheetView zoomScaleNormal="100" workbookViewId="0">
      <selection activeCell="AM1" sqref="AM1:BH1048576"/>
    </sheetView>
  </sheetViews>
  <sheetFormatPr defaultColWidth="9" defaultRowHeight="20.100000000000001" customHeight="1" x14ac:dyDescent="0.2"/>
  <cols>
    <col min="1" max="1" width="11.5" style="35" customWidth="1"/>
    <col min="2" max="9" width="12" style="35" customWidth="1"/>
    <col min="10" max="10" width="22.375" style="35" bestFit="1" customWidth="1"/>
    <col min="11" max="11" width="11.125" style="35" bestFit="1" customWidth="1"/>
    <col min="12" max="12" width="12.75" style="36" customWidth="1"/>
    <col min="13" max="13" width="12.75" style="40" customWidth="1"/>
    <col min="14" max="14" width="12.75" style="36" customWidth="1"/>
    <col min="15" max="16" width="16.375" style="40" bestFit="1" customWidth="1"/>
    <col min="17" max="17" width="12.75" style="36" customWidth="1"/>
    <col min="18" max="18" width="15.625" style="40" bestFit="1" customWidth="1"/>
    <col min="19" max="19" width="21.125" style="40" bestFit="1" customWidth="1"/>
    <col min="20" max="20" width="14.875" style="40" bestFit="1" customWidth="1"/>
    <col min="21" max="22" width="19" style="40" bestFit="1" customWidth="1"/>
    <col min="23" max="25" width="12.75" style="40" customWidth="1"/>
    <col min="26" max="26" width="12.75" style="36" customWidth="1"/>
    <col min="27" max="28" width="16.375" style="36" bestFit="1" customWidth="1"/>
    <col min="29" max="29" width="14.25" style="36" bestFit="1" customWidth="1"/>
    <col min="30" max="30" width="12.75" style="35" customWidth="1"/>
    <col min="31" max="31" width="42.25" style="35" customWidth="1"/>
    <col min="32" max="32" width="17.5" style="40" customWidth="1"/>
    <col min="33" max="34" width="35" style="40" customWidth="1"/>
    <col min="35" max="35" width="29.25" style="35" customWidth="1"/>
    <col min="36" max="38" width="12.75" style="35" customWidth="1"/>
    <col min="39" max="16384" width="9" style="35"/>
  </cols>
  <sheetData>
    <row r="1" spans="1:38" s="40" customFormat="1" ht="25.5" customHeight="1" x14ac:dyDescent="0.2">
      <c r="A1" s="37" t="s">
        <v>125</v>
      </c>
      <c r="B1" s="67" t="s">
        <v>0</v>
      </c>
      <c r="C1" s="62" t="s">
        <v>1</v>
      </c>
      <c r="D1" s="62" t="s">
        <v>2</v>
      </c>
      <c r="E1" s="62" t="s">
        <v>3</v>
      </c>
      <c r="F1" s="62" t="s">
        <v>4</v>
      </c>
      <c r="G1" s="62" t="s">
        <v>5</v>
      </c>
      <c r="H1" s="62" t="s">
        <v>120</v>
      </c>
      <c r="I1" s="62" t="s">
        <v>121</v>
      </c>
      <c r="J1" s="68" t="s">
        <v>122</v>
      </c>
      <c r="K1" s="67" t="s">
        <v>123</v>
      </c>
      <c r="L1" s="38" t="s">
        <v>97</v>
      </c>
      <c r="M1" s="57" t="s">
        <v>98</v>
      </c>
      <c r="N1" s="38" t="s">
        <v>6</v>
      </c>
      <c r="O1" s="57" t="s">
        <v>99</v>
      </c>
      <c r="P1" s="57" t="s">
        <v>100</v>
      </c>
      <c r="Q1" s="39" t="s">
        <v>7</v>
      </c>
      <c r="R1" s="58" t="s">
        <v>101</v>
      </c>
      <c r="S1" s="58" t="s">
        <v>102</v>
      </c>
      <c r="T1" s="58" t="s">
        <v>103</v>
      </c>
      <c r="U1" s="58" t="s">
        <v>104</v>
      </c>
      <c r="V1" s="58" t="s">
        <v>105</v>
      </c>
      <c r="W1" s="57" t="s">
        <v>106</v>
      </c>
      <c r="X1" s="57" t="s">
        <v>8</v>
      </c>
      <c r="Y1" s="57" t="s">
        <v>107</v>
      </c>
      <c r="Z1" s="38" t="s">
        <v>9</v>
      </c>
      <c r="AA1" s="57" t="s">
        <v>108</v>
      </c>
      <c r="AB1" s="57" t="s">
        <v>109</v>
      </c>
      <c r="AC1" s="57" t="s">
        <v>110</v>
      </c>
      <c r="AD1" s="57" t="s">
        <v>111</v>
      </c>
      <c r="AE1" s="59" t="s">
        <v>112</v>
      </c>
      <c r="AF1" s="57" t="s">
        <v>113</v>
      </c>
      <c r="AG1" s="59" t="s">
        <v>124</v>
      </c>
      <c r="AH1" s="59" t="s">
        <v>115</v>
      </c>
      <c r="AI1" s="61" t="s">
        <v>10</v>
      </c>
      <c r="AJ1" s="61" t="s">
        <v>117</v>
      </c>
      <c r="AK1" s="61" t="s">
        <v>118</v>
      </c>
      <c r="AL1" s="61" t="s">
        <v>119</v>
      </c>
    </row>
    <row r="2" spans="1:38" s="49" customFormat="1" ht="20.100000000000001" customHeight="1" x14ac:dyDescent="0.2">
      <c r="A2" s="42" t="s">
        <v>72</v>
      </c>
      <c r="B2" s="43">
        <v>23453.657970140001</v>
      </c>
      <c r="C2" s="43">
        <f t="shared" ref="C2:C26" si="0">I2*53.8</f>
        <v>39034.589999999997</v>
      </c>
      <c r="D2" s="43">
        <f t="shared" ref="D2:D26" si="1">I2*86.2</f>
        <v>62542.409999999996</v>
      </c>
      <c r="E2" s="43">
        <f t="shared" ref="E2:E26" si="2">(C2+D2)*0.04</f>
        <v>4063.08</v>
      </c>
      <c r="F2" s="43">
        <f t="shared" ref="F2:F26" si="3">SUM(B2:E2)*0.177</f>
        <v>22849.591620714778</v>
      </c>
      <c r="G2" s="43">
        <f t="shared" ref="G2:G26" si="4">SUM(B2:E2)*0.028</f>
        <v>3614.6246631639196</v>
      </c>
      <c r="H2" s="43">
        <f t="shared" ref="H2:H26" si="5">SUM(B2:G2)</f>
        <v>155557.95425401867</v>
      </c>
      <c r="I2" s="64">
        <v>725.55</v>
      </c>
      <c r="J2" s="69">
        <f t="shared" ref="J2:J26" si="6">C2+D2</f>
        <v>101577</v>
      </c>
      <c r="K2" s="69">
        <f t="shared" ref="K2:K26" si="7">B2+C2+D2</f>
        <v>125030.65797013999</v>
      </c>
      <c r="L2" s="46" t="s">
        <v>96</v>
      </c>
      <c r="M2" s="41">
        <v>0</v>
      </c>
      <c r="N2" s="47" t="s">
        <v>73</v>
      </c>
      <c r="O2" s="41">
        <v>0</v>
      </c>
      <c r="P2" s="41">
        <v>1</v>
      </c>
      <c r="Q2" s="47" t="s">
        <v>74</v>
      </c>
      <c r="R2" s="41">
        <v>1</v>
      </c>
      <c r="S2" s="41">
        <v>0</v>
      </c>
      <c r="T2" s="41">
        <v>0</v>
      </c>
      <c r="U2" s="41">
        <v>0</v>
      </c>
      <c r="V2" s="41">
        <v>0</v>
      </c>
      <c r="W2" s="41">
        <v>0</v>
      </c>
      <c r="X2" s="44">
        <v>4</v>
      </c>
      <c r="Y2" s="41">
        <v>0</v>
      </c>
      <c r="Z2" s="47" t="s">
        <v>21</v>
      </c>
      <c r="AA2" s="47">
        <v>0</v>
      </c>
      <c r="AB2" s="47">
        <v>0</v>
      </c>
      <c r="AC2" s="47">
        <v>0</v>
      </c>
      <c r="AD2" s="48">
        <v>28</v>
      </c>
      <c r="AE2" s="48">
        <v>300</v>
      </c>
      <c r="AF2" s="41">
        <v>225</v>
      </c>
      <c r="AG2" s="41">
        <v>213392</v>
      </c>
      <c r="AH2" s="41">
        <v>213392</v>
      </c>
      <c r="AI2" s="48">
        <v>35.4</v>
      </c>
      <c r="AJ2" s="48">
        <v>3000</v>
      </c>
      <c r="AK2" s="48"/>
      <c r="AL2" s="48"/>
    </row>
    <row r="3" spans="1:38" s="49" customFormat="1" ht="20.100000000000001" customHeight="1" x14ac:dyDescent="0.2">
      <c r="A3" s="42" t="s">
        <v>87</v>
      </c>
      <c r="B3" s="43">
        <v>104491.53012775</v>
      </c>
      <c r="C3" s="43">
        <f t="shared" si="0"/>
        <v>17511.899999999998</v>
      </c>
      <c r="D3" s="43">
        <f t="shared" si="1"/>
        <v>28058.100000000002</v>
      </c>
      <c r="E3" s="43">
        <f t="shared" si="2"/>
        <v>1822.8</v>
      </c>
      <c r="F3" s="43">
        <f t="shared" si="3"/>
        <v>26883.526432611743</v>
      </c>
      <c r="G3" s="43">
        <f t="shared" si="4"/>
        <v>4252.7612435769988</v>
      </c>
      <c r="H3" s="43">
        <f t="shared" si="5"/>
        <v>183020.61780393872</v>
      </c>
      <c r="I3" s="63">
        <v>325.5</v>
      </c>
      <c r="J3" s="69">
        <f t="shared" si="6"/>
        <v>45570</v>
      </c>
      <c r="K3" s="69">
        <f t="shared" si="7"/>
        <v>150061.53012774998</v>
      </c>
      <c r="L3" s="46" t="s">
        <v>96</v>
      </c>
      <c r="M3" s="41">
        <v>0</v>
      </c>
      <c r="N3" s="47" t="s">
        <v>73</v>
      </c>
      <c r="O3" s="41">
        <v>0</v>
      </c>
      <c r="P3" s="41">
        <v>1</v>
      </c>
      <c r="Q3" s="47" t="s">
        <v>74</v>
      </c>
      <c r="R3" s="41">
        <v>1</v>
      </c>
      <c r="S3" s="41">
        <v>0</v>
      </c>
      <c r="T3" s="41">
        <v>0</v>
      </c>
      <c r="U3" s="41">
        <v>0</v>
      </c>
      <c r="V3" s="41">
        <v>0</v>
      </c>
      <c r="W3" s="44">
        <v>1</v>
      </c>
      <c r="X3" s="44">
        <v>3</v>
      </c>
      <c r="Y3" s="41">
        <v>0</v>
      </c>
      <c r="Z3" s="47" t="s">
        <v>21</v>
      </c>
      <c r="AA3" s="47">
        <v>0</v>
      </c>
      <c r="AB3" s="47">
        <v>0</v>
      </c>
      <c r="AC3" s="47">
        <v>0</v>
      </c>
      <c r="AD3" s="48">
        <v>28</v>
      </c>
      <c r="AE3" s="48">
        <v>360</v>
      </c>
      <c r="AF3" s="41">
        <v>171</v>
      </c>
      <c r="AG3" s="41">
        <v>135600</v>
      </c>
      <c r="AH3" s="41">
        <v>135600</v>
      </c>
      <c r="AI3" s="48">
        <v>9</v>
      </c>
      <c r="AJ3" s="48">
        <v>6000</v>
      </c>
      <c r="AK3" s="48"/>
      <c r="AL3" s="48"/>
    </row>
    <row r="4" spans="1:38" s="49" customFormat="1" ht="20.100000000000001" customHeight="1" x14ac:dyDescent="0.2">
      <c r="A4" s="42" t="s">
        <v>88</v>
      </c>
      <c r="B4" s="43">
        <v>103961.1219924</v>
      </c>
      <c r="C4" s="43">
        <f t="shared" si="0"/>
        <v>25405.973999999998</v>
      </c>
      <c r="D4" s="43">
        <f t="shared" si="1"/>
        <v>40706.226000000002</v>
      </c>
      <c r="E4" s="43">
        <f t="shared" si="2"/>
        <v>2644.4879999999998</v>
      </c>
      <c r="F4" s="43">
        <f t="shared" si="3"/>
        <v>30571.052368654804</v>
      </c>
      <c r="G4" s="43">
        <f t="shared" si="4"/>
        <v>4836.098679787201</v>
      </c>
      <c r="H4" s="43">
        <f t="shared" si="5"/>
        <v>208124.96104084203</v>
      </c>
      <c r="I4" s="63">
        <v>472.23</v>
      </c>
      <c r="J4" s="69">
        <f t="shared" si="6"/>
        <v>66112.2</v>
      </c>
      <c r="K4" s="69">
        <f t="shared" si="7"/>
        <v>170073.32199240002</v>
      </c>
      <c r="L4" s="46" t="s">
        <v>96</v>
      </c>
      <c r="M4" s="41">
        <v>0</v>
      </c>
      <c r="N4" s="47" t="s">
        <v>73</v>
      </c>
      <c r="O4" s="41">
        <v>0</v>
      </c>
      <c r="P4" s="41">
        <v>1</v>
      </c>
      <c r="Q4" s="47" t="s">
        <v>74</v>
      </c>
      <c r="R4" s="41">
        <v>1</v>
      </c>
      <c r="S4" s="41">
        <v>0</v>
      </c>
      <c r="T4" s="41">
        <v>0</v>
      </c>
      <c r="U4" s="41">
        <v>0</v>
      </c>
      <c r="V4" s="41">
        <v>0</v>
      </c>
      <c r="W4" s="44">
        <v>1</v>
      </c>
      <c r="X4" s="44">
        <v>3</v>
      </c>
      <c r="Y4" s="41">
        <v>0</v>
      </c>
      <c r="Z4" s="47" t="s">
        <v>21</v>
      </c>
      <c r="AA4" s="47">
        <v>0</v>
      </c>
      <c r="AB4" s="47">
        <v>0</v>
      </c>
      <c r="AC4" s="47">
        <v>0</v>
      </c>
      <c r="AD4" s="48">
        <v>28</v>
      </c>
      <c r="AE4" s="48">
        <v>360</v>
      </c>
      <c r="AF4" s="41">
        <v>135</v>
      </c>
      <c r="AG4" s="41">
        <v>194100</v>
      </c>
      <c r="AH4" s="41">
        <v>194100</v>
      </c>
      <c r="AI4" s="48">
        <v>11.3</v>
      </c>
      <c r="AJ4" s="48">
        <v>6000</v>
      </c>
      <c r="AK4" s="48"/>
      <c r="AL4" s="48"/>
    </row>
    <row r="5" spans="1:38" s="49" customFormat="1" ht="20.100000000000001" customHeight="1" x14ac:dyDescent="0.2">
      <c r="A5" s="42" t="s">
        <v>89</v>
      </c>
      <c r="B5" s="43">
        <v>104455.30149167</v>
      </c>
      <c r="C5" s="43">
        <f t="shared" si="0"/>
        <v>18582.519999999997</v>
      </c>
      <c r="D5" s="43">
        <f t="shared" si="1"/>
        <v>29773.48</v>
      </c>
      <c r="E5" s="43">
        <f t="shared" si="2"/>
        <v>1934.24</v>
      </c>
      <c r="F5" s="43">
        <f t="shared" si="3"/>
        <v>27389.960844025591</v>
      </c>
      <c r="G5" s="43">
        <f t="shared" si="4"/>
        <v>4332.8751617667604</v>
      </c>
      <c r="H5" s="43">
        <f t="shared" si="5"/>
        <v>186468.37749746238</v>
      </c>
      <c r="I5" s="63">
        <v>345.4</v>
      </c>
      <c r="J5" s="69">
        <f t="shared" si="6"/>
        <v>48356</v>
      </c>
      <c r="K5" s="69">
        <f t="shared" si="7"/>
        <v>152811.30149167002</v>
      </c>
      <c r="L5" s="46" t="s">
        <v>96</v>
      </c>
      <c r="M5" s="41">
        <v>0</v>
      </c>
      <c r="N5" s="47" t="s">
        <v>73</v>
      </c>
      <c r="O5" s="41">
        <v>0</v>
      </c>
      <c r="P5" s="41">
        <v>1</v>
      </c>
      <c r="Q5" s="47" t="s">
        <v>74</v>
      </c>
      <c r="R5" s="41">
        <v>1</v>
      </c>
      <c r="S5" s="41">
        <v>0</v>
      </c>
      <c r="T5" s="41">
        <v>0</v>
      </c>
      <c r="U5" s="41">
        <v>0</v>
      </c>
      <c r="V5" s="41">
        <v>0</v>
      </c>
      <c r="W5" s="44">
        <v>1</v>
      </c>
      <c r="X5" s="44">
        <v>3</v>
      </c>
      <c r="Y5" s="41">
        <v>0</v>
      </c>
      <c r="Z5" s="47" t="s">
        <v>21</v>
      </c>
      <c r="AA5" s="47">
        <v>0</v>
      </c>
      <c r="AB5" s="47">
        <v>0</v>
      </c>
      <c r="AC5" s="47">
        <v>0</v>
      </c>
      <c r="AD5" s="48">
        <v>28</v>
      </c>
      <c r="AE5" s="48">
        <v>360</v>
      </c>
      <c r="AF5" s="41">
        <v>81</v>
      </c>
      <c r="AG5" s="41">
        <f>(180000+198000)/2</f>
        <v>189000</v>
      </c>
      <c r="AH5" s="41">
        <f>(180000+198000)/2</f>
        <v>189000</v>
      </c>
      <c r="AI5" s="48">
        <v>10</v>
      </c>
      <c r="AJ5" s="48">
        <v>6000</v>
      </c>
      <c r="AK5" s="48"/>
      <c r="AL5" s="48"/>
    </row>
    <row r="6" spans="1:38" s="49" customFormat="1" ht="20.100000000000001" customHeight="1" x14ac:dyDescent="0.2">
      <c r="A6" s="42" t="s">
        <v>90</v>
      </c>
      <c r="B6" s="43">
        <v>110819.42250759</v>
      </c>
      <c r="C6" s="43">
        <f t="shared" si="0"/>
        <v>14593.25</v>
      </c>
      <c r="D6" s="43">
        <f t="shared" si="1"/>
        <v>23381.75</v>
      </c>
      <c r="E6" s="43">
        <f t="shared" si="2"/>
        <v>1519</v>
      </c>
      <c r="F6" s="43">
        <f t="shared" si="3"/>
        <v>26605.475783843431</v>
      </c>
      <c r="G6" s="43">
        <f t="shared" si="4"/>
        <v>4208.7758302125203</v>
      </c>
      <c r="H6" s="43">
        <f t="shared" si="5"/>
        <v>181127.67412164595</v>
      </c>
      <c r="I6" s="63">
        <v>271.25</v>
      </c>
      <c r="J6" s="69">
        <f t="shared" si="6"/>
        <v>37975</v>
      </c>
      <c r="K6" s="69">
        <f t="shared" si="7"/>
        <v>148794.42250759</v>
      </c>
      <c r="L6" s="46" t="s">
        <v>96</v>
      </c>
      <c r="M6" s="41">
        <v>0</v>
      </c>
      <c r="N6" s="47" t="s">
        <v>21</v>
      </c>
      <c r="O6" s="41">
        <v>0</v>
      </c>
      <c r="P6" s="41">
        <v>0</v>
      </c>
      <c r="Q6" s="47" t="s">
        <v>21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1">
        <v>0</v>
      </c>
      <c r="Y6" s="41">
        <v>0</v>
      </c>
      <c r="Z6" s="47" t="s">
        <v>21</v>
      </c>
      <c r="AA6" s="47">
        <v>0</v>
      </c>
      <c r="AB6" s="47">
        <v>0</v>
      </c>
      <c r="AC6" s="47">
        <v>0</v>
      </c>
      <c r="AD6" s="48">
        <v>28</v>
      </c>
      <c r="AE6" s="48">
        <v>360</v>
      </c>
      <c r="AF6" s="41">
        <v>81</v>
      </c>
      <c r="AG6" s="41">
        <f>(180000+198000)/2</f>
        <v>189000</v>
      </c>
      <c r="AH6" s="41">
        <f>(180000+198000)/2</f>
        <v>189000</v>
      </c>
      <c r="AI6" s="48">
        <v>9.3000000000000007</v>
      </c>
      <c r="AJ6" s="48">
        <v>6000</v>
      </c>
      <c r="AK6" s="48"/>
      <c r="AL6" s="48"/>
    </row>
    <row r="7" spans="1:38" s="49" customFormat="1" ht="20.100000000000001" customHeight="1" x14ac:dyDescent="0.2">
      <c r="A7" s="51" t="s">
        <v>11</v>
      </c>
      <c r="B7" s="2">
        <v>103141.99410868</v>
      </c>
      <c r="C7" s="43">
        <f t="shared" si="0"/>
        <v>30626.187999999998</v>
      </c>
      <c r="D7" s="43">
        <f t="shared" si="1"/>
        <v>49070.212</v>
      </c>
      <c r="E7" s="43">
        <f t="shared" si="2"/>
        <v>3187.8559999999998</v>
      </c>
      <c r="F7" s="43">
        <f t="shared" si="3"/>
        <v>32926.646269236357</v>
      </c>
      <c r="G7" s="43">
        <f t="shared" si="4"/>
        <v>5208.7350030430398</v>
      </c>
      <c r="H7" s="43">
        <f t="shared" si="5"/>
        <v>224161.63138095938</v>
      </c>
      <c r="I7" s="63">
        <v>569.26</v>
      </c>
      <c r="J7" s="69">
        <f t="shared" si="6"/>
        <v>79696.399999999994</v>
      </c>
      <c r="K7" s="69">
        <f t="shared" si="7"/>
        <v>182838.39410867999</v>
      </c>
      <c r="L7" s="46" t="s">
        <v>96</v>
      </c>
      <c r="M7" s="41">
        <v>0</v>
      </c>
      <c r="N7" s="52" t="s">
        <v>13</v>
      </c>
      <c r="O7" s="53">
        <v>0</v>
      </c>
      <c r="P7" s="53">
        <v>1</v>
      </c>
      <c r="Q7" s="52" t="s">
        <v>14</v>
      </c>
      <c r="R7" s="53">
        <v>0</v>
      </c>
      <c r="S7" s="53">
        <v>0</v>
      </c>
      <c r="T7" s="53">
        <v>1</v>
      </c>
      <c r="U7" s="53">
        <v>0</v>
      </c>
      <c r="V7" s="53">
        <v>0</v>
      </c>
      <c r="W7" s="44">
        <v>1</v>
      </c>
      <c r="X7" s="53">
        <v>3</v>
      </c>
      <c r="Y7" s="41">
        <v>0</v>
      </c>
      <c r="Z7" s="52" t="s">
        <v>12</v>
      </c>
      <c r="AA7" s="47">
        <v>0</v>
      </c>
      <c r="AB7" s="47">
        <v>0</v>
      </c>
      <c r="AC7" s="47">
        <v>0</v>
      </c>
      <c r="AD7" s="48">
        <v>21</v>
      </c>
      <c r="AE7" s="48">
        <v>360</v>
      </c>
      <c r="AF7" s="56">
        <v>40</v>
      </c>
      <c r="AG7" s="53">
        <v>92000</v>
      </c>
      <c r="AH7" s="53">
        <v>92000</v>
      </c>
      <c r="AI7" s="52">
        <v>10.15</v>
      </c>
      <c r="AJ7" s="48">
        <v>3000</v>
      </c>
      <c r="AK7" s="54"/>
      <c r="AL7" s="54"/>
    </row>
    <row r="8" spans="1:38" s="49" customFormat="1" ht="20.100000000000001" customHeight="1" x14ac:dyDescent="0.2">
      <c r="A8" s="51" t="s">
        <v>15</v>
      </c>
      <c r="B8" s="2">
        <v>103530.16807967999</v>
      </c>
      <c r="C8" s="43">
        <f t="shared" si="0"/>
        <v>26244.178</v>
      </c>
      <c r="D8" s="43">
        <f t="shared" si="1"/>
        <v>42049.222000000002</v>
      </c>
      <c r="E8" s="43">
        <f t="shared" si="2"/>
        <v>2731.7359999999999</v>
      </c>
      <c r="F8" s="43">
        <f t="shared" si="3"/>
        <v>30896.288822103361</v>
      </c>
      <c r="G8" s="43">
        <f t="shared" si="4"/>
        <v>4887.5485142310399</v>
      </c>
      <c r="H8" s="43">
        <f t="shared" si="5"/>
        <v>210339.1414160144</v>
      </c>
      <c r="I8" s="63">
        <v>487.81</v>
      </c>
      <c r="J8" s="69">
        <f t="shared" si="6"/>
        <v>68293.399999999994</v>
      </c>
      <c r="K8" s="69">
        <f t="shared" si="7"/>
        <v>171823.56807968</v>
      </c>
      <c r="L8" s="46" t="s">
        <v>96</v>
      </c>
      <c r="M8" s="41">
        <v>0</v>
      </c>
      <c r="N8" s="52" t="s">
        <v>13</v>
      </c>
      <c r="O8" s="53">
        <v>0</v>
      </c>
      <c r="P8" s="53">
        <v>1</v>
      </c>
      <c r="Q8" s="52" t="s">
        <v>14</v>
      </c>
      <c r="R8" s="53">
        <v>0</v>
      </c>
      <c r="S8" s="53">
        <v>0</v>
      </c>
      <c r="T8" s="53">
        <v>1</v>
      </c>
      <c r="U8" s="53">
        <v>0</v>
      </c>
      <c r="V8" s="53">
        <v>0</v>
      </c>
      <c r="W8" s="44">
        <v>1</v>
      </c>
      <c r="X8" s="53">
        <v>3</v>
      </c>
      <c r="Y8" s="41">
        <v>0</v>
      </c>
      <c r="Z8" s="52" t="s">
        <v>12</v>
      </c>
      <c r="AA8" s="47">
        <v>0</v>
      </c>
      <c r="AB8" s="47">
        <v>0</v>
      </c>
      <c r="AC8" s="47">
        <v>0</v>
      </c>
      <c r="AD8" s="48">
        <v>21</v>
      </c>
      <c r="AE8" s="48">
        <v>360</v>
      </c>
      <c r="AF8" s="56">
        <v>84.6</v>
      </c>
      <c r="AG8" s="53">
        <v>130000</v>
      </c>
      <c r="AH8" s="53">
        <v>130000</v>
      </c>
      <c r="AI8" s="52">
        <v>11.25</v>
      </c>
      <c r="AJ8" s="48">
        <v>3000</v>
      </c>
      <c r="AK8" s="54"/>
      <c r="AL8" s="54"/>
    </row>
    <row r="9" spans="1:38" s="49" customFormat="1" ht="20.100000000000001" customHeight="1" x14ac:dyDescent="0.2">
      <c r="A9" s="51" t="s">
        <v>16</v>
      </c>
      <c r="B9" s="2">
        <v>102651.11319199999</v>
      </c>
      <c r="C9" s="43">
        <f t="shared" si="0"/>
        <v>47911.051999999996</v>
      </c>
      <c r="D9" s="43">
        <f t="shared" si="1"/>
        <v>76764.547999999995</v>
      </c>
      <c r="E9" s="43">
        <f t="shared" si="2"/>
        <v>4987.0239999999994</v>
      </c>
      <c r="F9" s="43">
        <f t="shared" si="3"/>
        <v>41119.531482983999</v>
      </c>
      <c r="G9" s="43">
        <f t="shared" si="4"/>
        <v>6504.7846413759999</v>
      </c>
      <c r="H9" s="43">
        <f t="shared" si="5"/>
        <v>279938.05331635999</v>
      </c>
      <c r="I9" s="63">
        <v>890.54</v>
      </c>
      <c r="J9" s="69">
        <f t="shared" si="6"/>
        <v>124675.59999999999</v>
      </c>
      <c r="K9" s="69">
        <f t="shared" si="7"/>
        <v>227326.713192</v>
      </c>
      <c r="L9" s="46" t="s">
        <v>96</v>
      </c>
      <c r="M9" s="41">
        <v>0</v>
      </c>
      <c r="N9" s="52" t="s">
        <v>13</v>
      </c>
      <c r="O9" s="53">
        <v>0</v>
      </c>
      <c r="P9" s="53">
        <v>1</v>
      </c>
      <c r="Q9" s="52" t="s">
        <v>14</v>
      </c>
      <c r="R9" s="53">
        <v>0</v>
      </c>
      <c r="S9" s="53">
        <v>0</v>
      </c>
      <c r="T9" s="53">
        <v>1</v>
      </c>
      <c r="U9" s="53">
        <v>0</v>
      </c>
      <c r="V9" s="53">
        <v>0</v>
      </c>
      <c r="W9" s="44">
        <v>1</v>
      </c>
      <c r="X9" s="53">
        <v>3</v>
      </c>
      <c r="Y9" s="41">
        <v>0</v>
      </c>
      <c r="Z9" s="52" t="s">
        <v>12</v>
      </c>
      <c r="AA9" s="47">
        <v>0</v>
      </c>
      <c r="AB9" s="47">
        <v>0</v>
      </c>
      <c r="AC9" s="47">
        <v>0</v>
      </c>
      <c r="AD9" s="48">
        <v>21</v>
      </c>
      <c r="AE9" s="48">
        <v>360</v>
      </c>
      <c r="AF9" s="56">
        <v>84.6</v>
      </c>
      <c r="AG9" s="53">
        <v>88000</v>
      </c>
      <c r="AH9" s="53">
        <v>88000</v>
      </c>
      <c r="AI9" s="52">
        <v>10.35</v>
      </c>
      <c r="AJ9" s="48">
        <v>3000</v>
      </c>
      <c r="AK9" s="54"/>
      <c r="AL9" s="54"/>
    </row>
    <row r="10" spans="1:38" s="49" customFormat="1" ht="20.100000000000001" customHeight="1" x14ac:dyDescent="0.2">
      <c r="A10" s="51" t="s">
        <v>32</v>
      </c>
      <c r="B10" s="2">
        <v>144009.66880909001</v>
      </c>
      <c r="C10" s="43">
        <f t="shared" si="0"/>
        <v>27429.391999999996</v>
      </c>
      <c r="D10" s="43">
        <f t="shared" si="1"/>
        <v>43948.207999999999</v>
      </c>
      <c r="E10" s="43">
        <f t="shared" si="2"/>
        <v>2855.1039999999998</v>
      </c>
      <c r="F10" s="43">
        <f t="shared" si="3"/>
        <v>38628.899987208933</v>
      </c>
      <c r="G10" s="43">
        <f t="shared" si="4"/>
        <v>6110.7864386545207</v>
      </c>
      <c r="H10" s="43">
        <f t="shared" si="5"/>
        <v>262982.05923495349</v>
      </c>
      <c r="I10" s="63">
        <v>509.84</v>
      </c>
      <c r="J10" s="69">
        <f t="shared" si="6"/>
        <v>71377.599999999991</v>
      </c>
      <c r="K10" s="69">
        <f t="shared" si="7"/>
        <v>215387.26880909002</v>
      </c>
      <c r="L10" s="46" t="s">
        <v>96</v>
      </c>
      <c r="M10" s="41">
        <v>0</v>
      </c>
      <c r="N10" s="52" t="s">
        <v>13</v>
      </c>
      <c r="O10" s="53">
        <v>0</v>
      </c>
      <c r="P10" s="53">
        <v>1</v>
      </c>
      <c r="Q10" s="52" t="s">
        <v>14</v>
      </c>
      <c r="R10" s="53">
        <v>0</v>
      </c>
      <c r="S10" s="53">
        <v>0</v>
      </c>
      <c r="T10" s="53">
        <v>1</v>
      </c>
      <c r="U10" s="53">
        <v>0</v>
      </c>
      <c r="V10" s="53">
        <v>0</v>
      </c>
      <c r="W10" s="44">
        <v>1</v>
      </c>
      <c r="X10" s="53">
        <v>3</v>
      </c>
      <c r="Y10" s="41">
        <v>0</v>
      </c>
      <c r="Z10" s="52" t="s">
        <v>12</v>
      </c>
      <c r="AA10" s="47">
        <v>0</v>
      </c>
      <c r="AB10" s="47">
        <v>0</v>
      </c>
      <c r="AC10" s="47">
        <v>0</v>
      </c>
      <c r="AD10" s="48">
        <v>28</v>
      </c>
      <c r="AE10" s="48">
        <v>360</v>
      </c>
      <c r="AF10" s="56">
        <v>82</v>
      </c>
      <c r="AG10" s="56">
        <v>200500</v>
      </c>
      <c r="AH10" s="56">
        <v>200500</v>
      </c>
      <c r="AI10" s="54">
        <v>11</v>
      </c>
      <c r="AJ10" s="8">
        <v>8000</v>
      </c>
      <c r="AK10" s="54"/>
      <c r="AL10" s="54"/>
    </row>
    <row r="11" spans="1:38" ht="20.100000000000001" customHeight="1" x14ac:dyDescent="0.2">
      <c r="A11" s="51" t="s">
        <v>33</v>
      </c>
      <c r="B11" s="2">
        <v>125302.30995743765</v>
      </c>
      <c r="C11" s="43">
        <f t="shared" si="0"/>
        <v>23866.218000000001</v>
      </c>
      <c r="D11" s="43">
        <f t="shared" si="1"/>
        <v>38239.182000000001</v>
      </c>
      <c r="E11" s="43">
        <f t="shared" si="2"/>
        <v>2484.2159999999999</v>
      </c>
      <c r="F11" s="43">
        <f t="shared" si="3"/>
        <v>33610.870894466461</v>
      </c>
      <c r="G11" s="43">
        <f t="shared" si="4"/>
        <v>5316.973926808254</v>
      </c>
      <c r="H11" s="43">
        <f t="shared" si="5"/>
        <v>228819.77077871235</v>
      </c>
      <c r="I11" s="63">
        <v>443.61</v>
      </c>
      <c r="J11" s="69">
        <f t="shared" si="6"/>
        <v>62105.4</v>
      </c>
      <c r="K11" s="69">
        <f t="shared" si="7"/>
        <v>187407.70995743765</v>
      </c>
      <c r="L11" s="46" t="s">
        <v>96</v>
      </c>
      <c r="M11" s="41">
        <v>0</v>
      </c>
      <c r="N11" s="52" t="s">
        <v>13</v>
      </c>
      <c r="O11" s="53">
        <v>0</v>
      </c>
      <c r="P11" s="53">
        <v>1</v>
      </c>
      <c r="Q11" s="52" t="s">
        <v>14</v>
      </c>
      <c r="R11" s="53">
        <v>0</v>
      </c>
      <c r="S11" s="53">
        <v>0</v>
      </c>
      <c r="T11" s="53">
        <v>1</v>
      </c>
      <c r="U11" s="53">
        <v>0</v>
      </c>
      <c r="V11" s="53">
        <v>0</v>
      </c>
      <c r="W11" s="41">
        <v>0</v>
      </c>
      <c r="X11" s="41">
        <v>0</v>
      </c>
      <c r="Y11" s="41">
        <v>0</v>
      </c>
      <c r="Z11" s="52" t="s">
        <v>12</v>
      </c>
      <c r="AA11" s="47">
        <v>0</v>
      </c>
      <c r="AB11" s="47">
        <v>0</v>
      </c>
      <c r="AC11" s="47">
        <v>0</v>
      </c>
      <c r="AD11" s="48">
        <v>28</v>
      </c>
      <c r="AE11" s="48">
        <v>360</v>
      </c>
      <c r="AF11" s="56" t="s">
        <v>114</v>
      </c>
      <c r="AG11" s="56">
        <v>200500</v>
      </c>
      <c r="AH11" s="56">
        <v>200500</v>
      </c>
      <c r="AI11" s="54">
        <v>10.5</v>
      </c>
      <c r="AJ11" s="8">
        <v>8000</v>
      </c>
      <c r="AK11" s="54"/>
      <c r="AL11" s="54"/>
    </row>
    <row r="12" spans="1:38" ht="20.100000000000001" customHeight="1" x14ac:dyDescent="0.2">
      <c r="A12" s="51" t="s">
        <v>34</v>
      </c>
      <c r="B12" s="2">
        <v>132475.58126258</v>
      </c>
      <c r="C12" s="43">
        <f t="shared" si="0"/>
        <v>19264.703999999998</v>
      </c>
      <c r="D12" s="43">
        <f t="shared" si="1"/>
        <v>30866.495999999999</v>
      </c>
      <c r="E12" s="43">
        <f t="shared" si="2"/>
        <v>2005.2479999999998</v>
      </c>
      <c r="F12" s="43">
        <f t="shared" si="3"/>
        <v>32676.329179476659</v>
      </c>
      <c r="G12" s="43">
        <f t="shared" si="4"/>
        <v>5169.1368193522403</v>
      </c>
      <c r="H12" s="43">
        <f t="shared" si="5"/>
        <v>222457.49526140891</v>
      </c>
      <c r="I12" s="63">
        <v>358.08</v>
      </c>
      <c r="J12" s="69">
        <f t="shared" si="6"/>
        <v>50131.199999999997</v>
      </c>
      <c r="K12" s="69">
        <f t="shared" si="7"/>
        <v>182606.78126258001</v>
      </c>
      <c r="L12" s="46" t="s">
        <v>96</v>
      </c>
      <c r="M12" s="41">
        <v>0</v>
      </c>
      <c r="N12" s="52" t="s">
        <v>13</v>
      </c>
      <c r="O12" s="53">
        <v>0</v>
      </c>
      <c r="P12" s="53">
        <v>1</v>
      </c>
      <c r="Q12" s="52" t="s">
        <v>14</v>
      </c>
      <c r="R12" s="53">
        <v>0</v>
      </c>
      <c r="S12" s="53">
        <v>0</v>
      </c>
      <c r="T12" s="53">
        <v>1</v>
      </c>
      <c r="U12" s="53">
        <v>0</v>
      </c>
      <c r="V12" s="53">
        <v>0</v>
      </c>
      <c r="W12" s="44">
        <v>1</v>
      </c>
      <c r="X12" s="53">
        <v>3</v>
      </c>
      <c r="Y12" s="41">
        <v>0</v>
      </c>
      <c r="Z12" s="52" t="s">
        <v>12</v>
      </c>
      <c r="AA12" s="47">
        <v>0</v>
      </c>
      <c r="AB12" s="47">
        <v>0</v>
      </c>
      <c r="AC12" s="47">
        <v>0</v>
      </c>
      <c r="AD12" s="48">
        <v>28</v>
      </c>
      <c r="AE12" s="48">
        <v>360</v>
      </c>
      <c r="AF12" s="56">
        <v>74.599999999999994</v>
      </c>
      <c r="AG12" s="56">
        <v>169500</v>
      </c>
      <c r="AH12" s="56">
        <v>169500</v>
      </c>
      <c r="AI12" s="52">
        <v>9.8000000000000007</v>
      </c>
      <c r="AJ12" s="8">
        <v>8000</v>
      </c>
      <c r="AK12" s="54"/>
      <c r="AL12" s="54"/>
    </row>
    <row r="13" spans="1:38" ht="20.100000000000001" customHeight="1" x14ac:dyDescent="0.2">
      <c r="A13" s="51" t="s">
        <v>44</v>
      </c>
      <c r="B13" s="2">
        <v>119298.8797783644</v>
      </c>
      <c r="C13" s="43">
        <f t="shared" si="0"/>
        <v>67336.079999999987</v>
      </c>
      <c r="D13" s="43">
        <f t="shared" si="1"/>
        <v>107887.92</v>
      </c>
      <c r="E13" s="43">
        <f t="shared" si="2"/>
        <v>7008.96</v>
      </c>
      <c r="F13" s="43">
        <f t="shared" si="3"/>
        <v>53371.135640770495</v>
      </c>
      <c r="G13" s="43">
        <f t="shared" si="4"/>
        <v>8442.891513794204</v>
      </c>
      <c r="H13" s="43">
        <f t="shared" si="5"/>
        <v>363345.86693292909</v>
      </c>
      <c r="I13" s="63">
        <v>1251.5999999999999</v>
      </c>
      <c r="J13" s="69">
        <f t="shared" si="6"/>
        <v>175224</v>
      </c>
      <c r="K13" s="69">
        <f t="shared" si="7"/>
        <v>294522.87977836438</v>
      </c>
      <c r="L13" s="46" t="s">
        <v>96</v>
      </c>
      <c r="M13" s="41">
        <v>0</v>
      </c>
      <c r="N13" s="52" t="s">
        <v>13</v>
      </c>
      <c r="O13" s="53">
        <v>0</v>
      </c>
      <c r="P13" s="53">
        <v>1</v>
      </c>
      <c r="Q13" s="52" t="s">
        <v>14</v>
      </c>
      <c r="R13" s="53">
        <v>0</v>
      </c>
      <c r="S13" s="53">
        <v>0</v>
      </c>
      <c r="T13" s="53">
        <v>1</v>
      </c>
      <c r="U13" s="53">
        <v>0</v>
      </c>
      <c r="V13" s="53">
        <v>0</v>
      </c>
      <c r="W13" s="44">
        <v>1</v>
      </c>
      <c r="X13" s="53">
        <v>3</v>
      </c>
      <c r="Y13" s="41">
        <v>0</v>
      </c>
      <c r="Z13" s="52" t="s">
        <v>12</v>
      </c>
      <c r="AA13" s="47">
        <v>0</v>
      </c>
      <c r="AB13" s="47">
        <v>0</v>
      </c>
      <c r="AC13" s="47">
        <v>0</v>
      </c>
      <c r="AD13" s="48">
        <v>28</v>
      </c>
      <c r="AE13" s="48">
        <v>360</v>
      </c>
      <c r="AF13" s="56">
        <v>146</v>
      </c>
      <c r="AG13" s="56">
        <f>(206400+220400)/2</f>
        <v>213400</v>
      </c>
      <c r="AH13" s="56">
        <f>(206400+220400)/2</f>
        <v>213400</v>
      </c>
      <c r="AI13" s="52">
        <v>15.4</v>
      </c>
      <c r="AJ13" s="8">
        <v>8000</v>
      </c>
      <c r="AK13" s="54"/>
      <c r="AL13" s="54"/>
    </row>
    <row r="14" spans="1:38" ht="20.100000000000001" customHeight="1" x14ac:dyDescent="0.2">
      <c r="A14" s="51" t="s">
        <v>40</v>
      </c>
      <c r="B14" s="2">
        <v>114903.96201504</v>
      </c>
      <c r="C14" s="43">
        <f t="shared" si="0"/>
        <v>57786.579999999994</v>
      </c>
      <c r="D14" s="43">
        <f t="shared" si="1"/>
        <v>92587.42</v>
      </c>
      <c r="E14" s="43">
        <f t="shared" si="2"/>
        <v>6014.96</v>
      </c>
      <c r="F14" s="43">
        <f t="shared" si="3"/>
        <v>48018.847196662078</v>
      </c>
      <c r="G14" s="43">
        <f t="shared" si="4"/>
        <v>7596.2018164211204</v>
      </c>
      <c r="H14" s="43">
        <f t="shared" si="5"/>
        <v>326907.97102812323</v>
      </c>
      <c r="I14" s="63">
        <v>1074.0999999999999</v>
      </c>
      <c r="J14" s="69">
        <f t="shared" si="6"/>
        <v>150374</v>
      </c>
      <c r="K14" s="69">
        <f t="shared" si="7"/>
        <v>265277.96201503999</v>
      </c>
      <c r="L14" s="46" t="s">
        <v>96</v>
      </c>
      <c r="M14" s="41">
        <v>0</v>
      </c>
      <c r="N14" s="52" t="s">
        <v>13</v>
      </c>
      <c r="O14" s="53">
        <v>0</v>
      </c>
      <c r="P14" s="53">
        <v>1</v>
      </c>
      <c r="Q14" s="52" t="s">
        <v>14</v>
      </c>
      <c r="R14" s="53">
        <v>0</v>
      </c>
      <c r="S14" s="53">
        <v>0</v>
      </c>
      <c r="T14" s="53">
        <v>1</v>
      </c>
      <c r="U14" s="53">
        <v>0</v>
      </c>
      <c r="V14" s="53">
        <v>0</v>
      </c>
      <c r="W14" s="44">
        <v>1</v>
      </c>
      <c r="X14" s="53">
        <v>4</v>
      </c>
      <c r="Y14" s="41">
        <v>0</v>
      </c>
      <c r="Z14" s="52" t="s">
        <v>12</v>
      </c>
      <c r="AA14" s="47">
        <v>0</v>
      </c>
      <c r="AB14" s="47">
        <v>0</v>
      </c>
      <c r="AC14" s="47">
        <v>0</v>
      </c>
      <c r="AD14" s="48">
        <v>28</v>
      </c>
      <c r="AE14" s="48">
        <v>360</v>
      </c>
      <c r="AF14" s="56">
        <v>125.6</v>
      </c>
      <c r="AG14" s="56">
        <f>(194400+207600)/2</f>
        <v>201000</v>
      </c>
      <c r="AH14" s="56">
        <f>(194400+207600)/2</f>
        <v>201000</v>
      </c>
      <c r="AI14" s="52">
        <v>14.8</v>
      </c>
      <c r="AJ14" s="8">
        <v>8000</v>
      </c>
      <c r="AK14" s="54"/>
      <c r="AL14" s="54"/>
    </row>
    <row r="15" spans="1:38" ht="20.100000000000001" customHeight="1" x14ac:dyDescent="0.2">
      <c r="A15" s="51" t="s">
        <v>41</v>
      </c>
      <c r="B15" s="2">
        <v>116468.88216996001</v>
      </c>
      <c r="C15" s="43">
        <f t="shared" si="0"/>
        <v>35242.766000000003</v>
      </c>
      <c r="D15" s="43">
        <f t="shared" si="1"/>
        <v>56467.034000000007</v>
      </c>
      <c r="E15" s="43">
        <f t="shared" si="2"/>
        <v>3668.3920000000007</v>
      </c>
      <c r="F15" s="43">
        <f t="shared" si="3"/>
        <v>37496.932128082924</v>
      </c>
      <c r="G15" s="43">
        <f t="shared" si="4"/>
        <v>5931.7180767588807</v>
      </c>
      <c r="H15" s="43">
        <f t="shared" si="5"/>
        <v>255275.72437480182</v>
      </c>
      <c r="I15" s="63">
        <v>655.07000000000005</v>
      </c>
      <c r="J15" s="69">
        <f t="shared" si="6"/>
        <v>91709.800000000017</v>
      </c>
      <c r="K15" s="69">
        <f t="shared" si="7"/>
        <v>208178.68216996003</v>
      </c>
      <c r="L15" s="46" t="s">
        <v>96</v>
      </c>
      <c r="M15" s="41">
        <v>0</v>
      </c>
      <c r="N15" s="52" t="s">
        <v>12</v>
      </c>
      <c r="O15" s="41">
        <v>0</v>
      </c>
      <c r="P15" s="41">
        <v>0</v>
      </c>
      <c r="Q15" s="52" t="s">
        <v>12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52" t="s">
        <v>12</v>
      </c>
      <c r="AA15" s="47">
        <v>0</v>
      </c>
      <c r="AB15" s="47">
        <v>0</v>
      </c>
      <c r="AC15" s="47">
        <v>0</v>
      </c>
      <c r="AD15" s="48">
        <v>28</v>
      </c>
      <c r="AE15" s="48">
        <v>360</v>
      </c>
      <c r="AF15" s="56">
        <v>125.6</v>
      </c>
      <c r="AG15" s="56">
        <f>(194400+207600)/2</f>
        <v>201000</v>
      </c>
      <c r="AH15" s="56">
        <f>(194400+207600)/2</f>
        <v>201000</v>
      </c>
      <c r="AI15" s="52">
        <v>12.8</v>
      </c>
      <c r="AJ15" s="8">
        <v>8000</v>
      </c>
      <c r="AK15" s="54"/>
      <c r="AL15" s="54"/>
    </row>
    <row r="16" spans="1:38" ht="20.100000000000001" customHeight="1" x14ac:dyDescent="0.2">
      <c r="A16" s="51" t="s">
        <v>45</v>
      </c>
      <c r="B16" s="2">
        <v>156263.52534045</v>
      </c>
      <c r="C16" s="43">
        <f t="shared" si="0"/>
        <v>61124.87</v>
      </c>
      <c r="D16" s="43">
        <f t="shared" si="1"/>
        <v>97936.13</v>
      </c>
      <c r="E16" s="43">
        <f t="shared" si="2"/>
        <v>6362.4400000000005</v>
      </c>
      <c r="F16" s="43">
        <f t="shared" si="3"/>
        <v>56938.592865259649</v>
      </c>
      <c r="G16" s="43">
        <f t="shared" si="4"/>
        <v>9007.2350295325996</v>
      </c>
      <c r="H16" s="43">
        <f t="shared" si="5"/>
        <v>387632.79323524225</v>
      </c>
      <c r="I16" s="63">
        <v>1136.1500000000001</v>
      </c>
      <c r="J16" s="69">
        <f t="shared" si="6"/>
        <v>159061</v>
      </c>
      <c r="K16" s="69">
        <f t="shared" si="7"/>
        <v>315324.52534045</v>
      </c>
      <c r="L16" s="46" t="s">
        <v>96</v>
      </c>
      <c r="M16" s="41">
        <v>0</v>
      </c>
      <c r="N16" s="52" t="s">
        <v>13</v>
      </c>
      <c r="O16" s="53">
        <v>0</v>
      </c>
      <c r="P16" s="53">
        <v>1</v>
      </c>
      <c r="Q16" s="52" t="s">
        <v>14</v>
      </c>
      <c r="R16" s="53">
        <v>0</v>
      </c>
      <c r="S16" s="53">
        <v>0</v>
      </c>
      <c r="T16" s="53">
        <v>1</v>
      </c>
      <c r="U16" s="53">
        <v>0</v>
      </c>
      <c r="V16" s="53">
        <v>0</v>
      </c>
      <c r="W16" s="44">
        <v>1</v>
      </c>
      <c r="X16" s="53">
        <v>4</v>
      </c>
      <c r="Y16" s="41">
        <v>0</v>
      </c>
      <c r="Z16" s="52" t="s">
        <v>12</v>
      </c>
      <c r="AA16" s="47">
        <v>0</v>
      </c>
      <c r="AB16" s="47">
        <v>0</v>
      </c>
      <c r="AC16" s="47">
        <v>0</v>
      </c>
      <c r="AD16" s="48">
        <v>28</v>
      </c>
      <c r="AE16" s="48">
        <v>360</v>
      </c>
      <c r="AF16" s="56">
        <v>215.6</v>
      </c>
      <c r="AG16" s="56">
        <f>(251600+268700)/2</f>
        <v>260150</v>
      </c>
      <c r="AH16" s="56">
        <f>(251600+268700)/2</f>
        <v>260150</v>
      </c>
      <c r="AI16" s="52">
        <v>25.4</v>
      </c>
      <c r="AJ16" s="8">
        <v>8000</v>
      </c>
      <c r="AK16" s="54"/>
      <c r="AL16" s="54"/>
    </row>
    <row r="17" spans="1:38" ht="20.100000000000001" customHeight="1" x14ac:dyDescent="0.2">
      <c r="A17" s="51" t="s">
        <v>42</v>
      </c>
      <c r="B17" s="2">
        <v>117527.72047264001</v>
      </c>
      <c r="C17" s="43">
        <f t="shared" si="0"/>
        <v>64132.289999999994</v>
      </c>
      <c r="D17" s="43">
        <f t="shared" si="1"/>
        <v>102754.71</v>
      </c>
      <c r="E17" s="43">
        <f t="shared" si="2"/>
        <v>6675.4800000000005</v>
      </c>
      <c r="F17" s="43">
        <f t="shared" si="3"/>
        <v>51522.965483657274</v>
      </c>
      <c r="G17" s="43">
        <f t="shared" si="4"/>
        <v>8150.52561323392</v>
      </c>
      <c r="H17" s="43">
        <f t="shared" si="5"/>
        <v>350763.69156953116</v>
      </c>
      <c r="I17" s="63">
        <v>1192.05</v>
      </c>
      <c r="J17" s="69">
        <f t="shared" si="6"/>
        <v>166887</v>
      </c>
      <c r="K17" s="69">
        <f t="shared" si="7"/>
        <v>284414.72047264001</v>
      </c>
      <c r="L17" s="46" t="s">
        <v>96</v>
      </c>
      <c r="M17" s="41">
        <v>0</v>
      </c>
      <c r="N17" s="52" t="s">
        <v>13</v>
      </c>
      <c r="O17" s="53">
        <v>0</v>
      </c>
      <c r="P17" s="53">
        <v>1</v>
      </c>
      <c r="Q17" s="52" t="s">
        <v>14</v>
      </c>
      <c r="R17" s="53">
        <v>0</v>
      </c>
      <c r="S17" s="53">
        <v>0</v>
      </c>
      <c r="T17" s="53">
        <v>1</v>
      </c>
      <c r="U17" s="53">
        <v>0</v>
      </c>
      <c r="V17" s="53">
        <v>0</v>
      </c>
      <c r="W17" s="44">
        <v>1</v>
      </c>
      <c r="X17" s="53">
        <v>4</v>
      </c>
      <c r="Y17" s="41">
        <v>0</v>
      </c>
      <c r="Z17" s="52" t="s">
        <v>12</v>
      </c>
      <c r="AA17" s="47">
        <v>0</v>
      </c>
      <c r="AB17" s="47">
        <v>0</v>
      </c>
      <c r="AC17" s="47">
        <v>0</v>
      </c>
      <c r="AD17" s="48">
        <v>28</v>
      </c>
      <c r="AE17" s="48">
        <v>360</v>
      </c>
      <c r="AF17" s="56">
        <v>121.8</v>
      </c>
      <c r="AG17" s="56">
        <f>(195600+208900)/2</f>
        <v>202250</v>
      </c>
      <c r="AH17" s="56">
        <f>(195600+208900)/2</f>
        <v>202250</v>
      </c>
      <c r="AI17" s="52">
        <v>14.6</v>
      </c>
      <c r="AJ17" s="8">
        <v>8000</v>
      </c>
      <c r="AK17" s="54"/>
      <c r="AL17" s="54"/>
    </row>
    <row r="18" spans="1:38" ht="20.100000000000001" customHeight="1" x14ac:dyDescent="0.2">
      <c r="A18" s="51" t="s">
        <v>43</v>
      </c>
      <c r="B18" s="2">
        <v>113781.323659974</v>
      </c>
      <c r="C18" s="43">
        <f t="shared" si="0"/>
        <v>32472.066000000003</v>
      </c>
      <c r="D18" s="43">
        <f t="shared" si="1"/>
        <v>52027.734000000004</v>
      </c>
      <c r="E18" s="43">
        <f t="shared" si="2"/>
        <v>3379.9920000000002</v>
      </c>
      <c r="F18" s="43">
        <f t="shared" si="3"/>
        <v>35694.017471815394</v>
      </c>
      <c r="G18" s="43">
        <f t="shared" si="4"/>
        <v>5646.5112384792719</v>
      </c>
      <c r="H18" s="43">
        <f t="shared" si="5"/>
        <v>243001.64437026865</v>
      </c>
      <c r="I18" s="63">
        <v>603.57000000000005</v>
      </c>
      <c r="J18" s="69">
        <f t="shared" si="6"/>
        <v>84499.8</v>
      </c>
      <c r="K18" s="69">
        <f t="shared" si="7"/>
        <v>198281.12365997399</v>
      </c>
      <c r="L18" s="46" t="s">
        <v>96</v>
      </c>
      <c r="M18" s="41">
        <v>0</v>
      </c>
      <c r="N18" s="52" t="s">
        <v>12</v>
      </c>
      <c r="O18" s="41">
        <v>0</v>
      </c>
      <c r="P18" s="41">
        <v>0</v>
      </c>
      <c r="Q18" s="52" t="s">
        <v>12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52" t="s">
        <v>12</v>
      </c>
      <c r="AA18" s="47">
        <v>0</v>
      </c>
      <c r="AB18" s="47">
        <v>0</v>
      </c>
      <c r="AC18" s="47">
        <v>0</v>
      </c>
      <c r="AD18" s="48">
        <v>28</v>
      </c>
      <c r="AE18" s="48">
        <v>360</v>
      </c>
      <c r="AF18" s="56">
        <v>121.8</v>
      </c>
      <c r="AG18" s="56">
        <f>(195600+208900)/2</f>
        <v>202250</v>
      </c>
      <c r="AH18" s="56">
        <f>(195600+208900)/2</f>
        <v>202250</v>
      </c>
      <c r="AI18" s="52">
        <v>12.6</v>
      </c>
      <c r="AJ18" s="8">
        <v>8000</v>
      </c>
      <c r="AK18" s="54"/>
      <c r="AL18" s="54"/>
    </row>
    <row r="19" spans="1:38" ht="20.100000000000001" customHeight="1" x14ac:dyDescent="0.2">
      <c r="A19" s="51" t="s">
        <v>48</v>
      </c>
      <c r="B19" s="2">
        <v>107912.83224600999</v>
      </c>
      <c r="C19" s="43">
        <f t="shared" si="0"/>
        <v>72179.694000000003</v>
      </c>
      <c r="D19" s="43">
        <f t="shared" si="1"/>
        <v>115648.50600000001</v>
      </c>
      <c r="E19" s="43">
        <f t="shared" si="2"/>
        <v>7513.1280000000006</v>
      </c>
      <c r="F19" s="43">
        <f t="shared" si="3"/>
        <v>53675.986363543765</v>
      </c>
      <c r="G19" s="43">
        <f t="shared" si="4"/>
        <v>8491.1164868882806</v>
      </c>
      <c r="H19" s="43">
        <f t="shared" si="5"/>
        <v>365421.26309644204</v>
      </c>
      <c r="I19" s="63">
        <v>1341.63</v>
      </c>
      <c r="J19" s="69">
        <f t="shared" si="6"/>
        <v>187828.2</v>
      </c>
      <c r="K19" s="69">
        <f t="shared" si="7"/>
        <v>295741.03224600997</v>
      </c>
      <c r="L19" s="46" t="s">
        <v>96</v>
      </c>
      <c r="M19" s="41">
        <v>0</v>
      </c>
      <c r="N19" s="52" t="s">
        <v>13</v>
      </c>
      <c r="O19" s="53">
        <v>0</v>
      </c>
      <c r="P19" s="53">
        <v>1</v>
      </c>
      <c r="Q19" s="52" t="s">
        <v>14</v>
      </c>
      <c r="R19" s="53">
        <v>0</v>
      </c>
      <c r="S19" s="53">
        <v>0</v>
      </c>
      <c r="T19" s="53">
        <v>1</v>
      </c>
      <c r="U19" s="53">
        <v>0</v>
      </c>
      <c r="V19" s="53">
        <v>0</v>
      </c>
      <c r="W19" s="44">
        <v>1</v>
      </c>
      <c r="X19" s="53">
        <v>3</v>
      </c>
      <c r="Y19" s="41">
        <v>0</v>
      </c>
      <c r="Z19" s="52" t="s">
        <v>12</v>
      </c>
      <c r="AA19" s="47">
        <v>0</v>
      </c>
      <c r="AB19" s="47">
        <v>0</v>
      </c>
      <c r="AC19" s="47">
        <v>0</v>
      </c>
      <c r="AD19" s="48">
        <v>28</v>
      </c>
      <c r="AE19" s="48">
        <v>360</v>
      </c>
      <c r="AF19" s="56">
        <v>121</v>
      </c>
      <c r="AG19" s="56">
        <v>225000</v>
      </c>
      <c r="AH19" s="56">
        <v>225000</v>
      </c>
      <c r="AI19" s="52">
        <v>17.75</v>
      </c>
      <c r="AJ19" s="48">
        <v>2000</v>
      </c>
      <c r="AK19" s="54"/>
      <c r="AL19" s="54"/>
    </row>
    <row r="20" spans="1:38" ht="20.100000000000001" customHeight="1" x14ac:dyDescent="0.2">
      <c r="A20" s="51" t="s">
        <v>49</v>
      </c>
      <c r="B20" s="2">
        <v>108962.86105121199</v>
      </c>
      <c r="C20" s="43">
        <f t="shared" si="0"/>
        <v>61234.084000000003</v>
      </c>
      <c r="D20" s="43">
        <f t="shared" si="1"/>
        <v>98111.116000000009</v>
      </c>
      <c r="E20" s="43">
        <f t="shared" si="2"/>
        <v>6373.8080000000009</v>
      </c>
      <c r="F20" s="43">
        <f t="shared" si="3"/>
        <v>48618.690822064527</v>
      </c>
      <c r="G20" s="43">
        <f t="shared" si="4"/>
        <v>7691.0923334339368</v>
      </c>
      <c r="H20" s="43">
        <f t="shared" si="5"/>
        <v>330991.65220671048</v>
      </c>
      <c r="I20" s="63">
        <v>1138.18</v>
      </c>
      <c r="J20" s="69">
        <f t="shared" si="6"/>
        <v>159345.20000000001</v>
      </c>
      <c r="K20" s="69">
        <f t="shared" si="7"/>
        <v>268308.06105121202</v>
      </c>
      <c r="L20" s="46" t="s">
        <v>96</v>
      </c>
      <c r="M20" s="41">
        <v>0</v>
      </c>
      <c r="N20" s="52" t="s">
        <v>13</v>
      </c>
      <c r="O20" s="53">
        <v>0</v>
      </c>
      <c r="P20" s="53">
        <v>1</v>
      </c>
      <c r="Q20" s="52" t="s">
        <v>14</v>
      </c>
      <c r="R20" s="53">
        <v>0</v>
      </c>
      <c r="S20" s="53">
        <v>0</v>
      </c>
      <c r="T20" s="53">
        <v>1</v>
      </c>
      <c r="U20" s="53">
        <v>0</v>
      </c>
      <c r="V20" s="53">
        <v>0</v>
      </c>
      <c r="W20" s="44">
        <v>1</v>
      </c>
      <c r="X20" s="53">
        <v>3</v>
      </c>
      <c r="Y20" s="41">
        <v>0</v>
      </c>
      <c r="Z20" s="52" t="s">
        <v>12</v>
      </c>
      <c r="AA20" s="47">
        <v>0</v>
      </c>
      <c r="AB20" s="47">
        <v>0</v>
      </c>
      <c r="AC20" s="47">
        <v>0</v>
      </c>
      <c r="AD20" s="48">
        <v>28</v>
      </c>
      <c r="AE20" s="48">
        <v>360</v>
      </c>
      <c r="AF20" s="56">
        <v>87</v>
      </c>
      <c r="AG20" s="56">
        <v>250000</v>
      </c>
      <c r="AH20" s="56">
        <v>250000</v>
      </c>
      <c r="AI20" s="52">
        <v>17.62</v>
      </c>
      <c r="AJ20" s="48">
        <v>2000</v>
      </c>
      <c r="AK20" s="54"/>
      <c r="AL20" s="54"/>
    </row>
    <row r="21" spans="1:38" ht="20.100000000000001" customHeight="1" x14ac:dyDescent="0.2">
      <c r="A21" s="51" t="s">
        <v>50</v>
      </c>
      <c r="B21" s="2">
        <v>103726.329628611</v>
      </c>
      <c r="C21" s="43">
        <f t="shared" si="0"/>
        <v>41783.231999999996</v>
      </c>
      <c r="D21" s="43">
        <f t="shared" si="1"/>
        <v>66946.368000000002</v>
      </c>
      <c r="E21" s="43">
        <f t="shared" si="2"/>
        <v>4349.1840000000002</v>
      </c>
      <c r="F21" s="43">
        <f t="shared" si="3"/>
        <v>38374.505112264153</v>
      </c>
      <c r="G21" s="43">
        <f t="shared" si="4"/>
        <v>6070.5431816011087</v>
      </c>
      <c r="H21" s="43">
        <f t="shared" si="5"/>
        <v>261250.16192247628</v>
      </c>
      <c r="I21" s="63">
        <v>776.64</v>
      </c>
      <c r="J21" s="69">
        <f t="shared" si="6"/>
        <v>108729.60000000001</v>
      </c>
      <c r="K21" s="69">
        <f t="shared" si="7"/>
        <v>212455.92962861102</v>
      </c>
      <c r="L21" s="46" t="s">
        <v>96</v>
      </c>
      <c r="M21" s="41">
        <v>0</v>
      </c>
      <c r="N21" s="52" t="s">
        <v>13</v>
      </c>
      <c r="O21" s="53">
        <v>0</v>
      </c>
      <c r="P21" s="53">
        <v>1</v>
      </c>
      <c r="Q21" s="52" t="s">
        <v>14</v>
      </c>
      <c r="R21" s="53">
        <v>0</v>
      </c>
      <c r="S21" s="53">
        <v>0</v>
      </c>
      <c r="T21" s="53">
        <v>1</v>
      </c>
      <c r="U21" s="53">
        <v>0</v>
      </c>
      <c r="V21" s="53">
        <v>0</v>
      </c>
      <c r="W21" s="44">
        <v>1</v>
      </c>
      <c r="X21" s="53">
        <v>3</v>
      </c>
      <c r="Y21" s="41">
        <v>0</v>
      </c>
      <c r="Z21" s="52" t="s">
        <v>12</v>
      </c>
      <c r="AA21" s="47">
        <v>0</v>
      </c>
      <c r="AB21" s="47">
        <v>0</v>
      </c>
      <c r="AC21" s="47">
        <v>0</v>
      </c>
      <c r="AD21" s="48">
        <v>28</v>
      </c>
      <c r="AE21" s="48">
        <v>360</v>
      </c>
      <c r="AF21" s="56">
        <v>82.67</v>
      </c>
      <c r="AG21" s="56">
        <v>250000</v>
      </c>
      <c r="AH21" s="56">
        <v>250000</v>
      </c>
      <c r="AI21" s="52">
        <v>15.4</v>
      </c>
      <c r="AJ21" s="48">
        <v>2000</v>
      </c>
      <c r="AK21" s="54"/>
      <c r="AL21" s="54"/>
    </row>
    <row r="22" spans="1:38" ht="20.100000000000001" customHeight="1" x14ac:dyDescent="0.2">
      <c r="A22" s="51" t="s">
        <v>51</v>
      </c>
      <c r="B22" s="2">
        <v>109592.87833433319</v>
      </c>
      <c r="C22" s="43">
        <f t="shared" si="0"/>
        <v>72629.462</v>
      </c>
      <c r="D22" s="43">
        <f t="shared" si="1"/>
        <v>116369.13800000001</v>
      </c>
      <c r="E22" s="43">
        <f t="shared" si="2"/>
        <v>7559.9440000000004</v>
      </c>
      <c r="F22" s="43">
        <f t="shared" si="3"/>
        <v>54188.801753176973</v>
      </c>
      <c r="G22" s="43">
        <f t="shared" si="4"/>
        <v>8572.2398253613301</v>
      </c>
      <c r="H22" s="43">
        <f t="shared" si="5"/>
        <v>368912.46391287149</v>
      </c>
      <c r="I22" s="63">
        <v>1349.99</v>
      </c>
      <c r="J22" s="69">
        <f t="shared" si="6"/>
        <v>188998.6</v>
      </c>
      <c r="K22" s="69">
        <f t="shared" si="7"/>
        <v>298591.47833433317</v>
      </c>
      <c r="L22" s="46" t="s">
        <v>96</v>
      </c>
      <c r="M22" s="41">
        <v>0</v>
      </c>
      <c r="N22" s="52" t="s">
        <v>13</v>
      </c>
      <c r="O22" s="53">
        <v>0</v>
      </c>
      <c r="P22" s="53">
        <v>1</v>
      </c>
      <c r="Q22" s="52" t="s">
        <v>14</v>
      </c>
      <c r="R22" s="53">
        <v>0</v>
      </c>
      <c r="S22" s="53">
        <v>0</v>
      </c>
      <c r="T22" s="53">
        <v>1</v>
      </c>
      <c r="U22" s="53">
        <v>0</v>
      </c>
      <c r="V22" s="53">
        <v>0</v>
      </c>
      <c r="W22" s="44">
        <v>1</v>
      </c>
      <c r="X22" s="53">
        <v>3</v>
      </c>
      <c r="Y22" s="41">
        <v>0</v>
      </c>
      <c r="Z22" s="52" t="s">
        <v>12</v>
      </c>
      <c r="AA22" s="47">
        <v>0</v>
      </c>
      <c r="AB22" s="47">
        <v>0</v>
      </c>
      <c r="AC22" s="47">
        <v>0</v>
      </c>
      <c r="AD22" s="48">
        <v>28</v>
      </c>
      <c r="AE22" s="48">
        <v>360</v>
      </c>
      <c r="AF22" s="56">
        <v>103</v>
      </c>
      <c r="AG22" s="56">
        <v>250000</v>
      </c>
      <c r="AH22" s="56">
        <v>250000</v>
      </c>
      <c r="AI22" s="52">
        <v>18</v>
      </c>
      <c r="AJ22" s="48">
        <v>2000</v>
      </c>
      <c r="AK22" s="54"/>
      <c r="AL22" s="54"/>
    </row>
    <row r="23" spans="1:38" ht="20.100000000000001" customHeight="1" x14ac:dyDescent="0.2">
      <c r="A23" s="42" t="s">
        <v>62</v>
      </c>
      <c r="B23" s="43">
        <v>32371.628479999999</v>
      </c>
      <c r="C23" s="43">
        <f t="shared" si="0"/>
        <v>22168.827999999998</v>
      </c>
      <c r="D23" s="43">
        <f t="shared" si="1"/>
        <v>35519.572</v>
      </c>
      <c r="E23" s="43">
        <f t="shared" si="2"/>
        <v>2307.5359999999996</v>
      </c>
      <c r="F23" s="43">
        <f t="shared" si="3"/>
        <v>16349.058912959998</v>
      </c>
      <c r="G23" s="43">
        <f t="shared" si="4"/>
        <v>2586.2918054399997</v>
      </c>
      <c r="H23" s="43">
        <f t="shared" si="5"/>
        <v>111302.91519839998</v>
      </c>
      <c r="I23" s="66">
        <v>412.06</v>
      </c>
      <c r="J23" s="69">
        <f t="shared" si="6"/>
        <v>57688.399999999994</v>
      </c>
      <c r="K23" s="69">
        <f t="shared" si="7"/>
        <v>90060.028479999994</v>
      </c>
      <c r="L23" s="46" t="s">
        <v>96</v>
      </c>
      <c r="M23" s="41">
        <v>0</v>
      </c>
      <c r="N23" s="47" t="s">
        <v>21</v>
      </c>
      <c r="O23" s="41">
        <v>0</v>
      </c>
      <c r="P23" s="41">
        <v>0</v>
      </c>
      <c r="Q23" s="47" t="s">
        <v>21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7" t="s">
        <v>21</v>
      </c>
      <c r="AA23" s="47">
        <v>0</v>
      </c>
      <c r="AB23" s="47">
        <v>0</v>
      </c>
      <c r="AC23" s="47">
        <v>0</v>
      </c>
      <c r="AD23" s="48">
        <v>28</v>
      </c>
      <c r="AE23" s="48">
        <v>300</v>
      </c>
      <c r="AF23" s="41">
        <v>96</v>
      </c>
      <c r="AG23" s="41">
        <v>208919</v>
      </c>
      <c r="AH23" s="41">
        <v>208919</v>
      </c>
      <c r="AI23" s="48">
        <v>26.08</v>
      </c>
      <c r="AJ23" s="48">
        <v>2000</v>
      </c>
      <c r="AK23" s="48"/>
      <c r="AL23" s="48"/>
    </row>
    <row r="24" spans="1:38" ht="20.100000000000001" customHeight="1" x14ac:dyDescent="0.2">
      <c r="A24" s="42" t="s">
        <v>59</v>
      </c>
      <c r="B24" s="43">
        <v>8683.714172</v>
      </c>
      <c r="C24" s="43">
        <f t="shared" si="0"/>
        <v>13298.821999999998</v>
      </c>
      <c r="D24" s="43">
        <f t="shared" si="1"/>
        <v>21307.778000000002</v>
      </c>
      <c r="E24" s="43">
        <f t="shared" si="2"/>
        <v>1384.2639999999999</v>
      </c>
      <c r="F24" s="43">
        <f t="shared" si="3"/>
        <v>7907.4003364439995</v>
      </c>
      <c r="G24" s="43">
        <f t="shared" si="4"/>
        <v>1250.8881888160001</v>
      </c>
      <c r="H24" s="43">
        <f t="shared" si="5"/>
        <v>53832.866697260004</v>
      </c>
      <c r="I24" s="66">
        <v>247.19</v>
      </c>
      <c r="J24" s="69">
        <f t="shared" si="6"/>
        <v>34606.6</v>
      </c>
      <c r="K24" s="69">
        <f t="shared" si="7"/>
        <v>43290.314171999999</v>
      </c>
      <c r="L24" s="46" t="s">
        <v>96</v>
      </c>
      <c r="M24" s="41">
        <v>0</v>
      </c>
      <c r="N24" s="47" t="s">
        <v>21</v>
      </c>
      <c r="O24" s="41">
        <v>0</v>
      </c>
      <c r="P24" s="41">
        <v>0</v>
      </c>
      <c r="Q24" s="47" t="s">
        <v>21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7" t="s">
        <v>21</v>
      </c>
      <c r="AA24" s="47">
        <v>0</v>
      </c>
      <c r="AB24" s="47">
        <v>0</v>
      </c>
      <c r="AC24" s="47">
        <v>0</v>
      </c>
      <c r="AD24" s="48">
        <v>28</v>
      </c>
      <c r="AE24" s="48">
        <v>150</v>
      </c>
      <c r="AF24" s="41">
        <v>65</v>
      </c>
      <c r="AG24" s="41">
        <v>97000</v>
      </c>
      <c r="AH24" s="41">
        <v>97000</v>
      </c>
      <c r="AI24" s="48">
        <v>10.58</v>
      </c>
      <c r="AJ24" s="48">
        <v>2000</v>
      </c>
      <c r="AK24" s="48"/>
      <c r="AL24" s="48"/>
    </row>
    <row r="25" spans="1:38" ht="20.100000000000001" customHeight="1" x14ac:dyDescent="0.2">
      <c r="A25" s="42" t="s">
        <v>60</v>
      </c>
      <c r="B25" s="43">
        <v>10507.882512</v>
      </c>
      <c r="C25" s="43">
        <f t="shared" si="0"/>
        <v>13826.062</v>
      </c>
      <c r="D25" s="43">
        <f t="shared" si="1"/>
        <v>22152.538</v>
      </c>
      <c r="E25" s="43">
        <f t="shared" si="2"/>
        <v>1439.144</v>
      </c>
      <c r="F25" s="43">
        <f t="shared" si="3"/>
        <v>8482.8358926239998</v>
      </c>
      <c r="G25" s="43">
        <f t="shared" si="4"/>
        <v>1341.917542336</v>
      </c>
      <c r="H25" s="43">
        <f t="shared" si="5"/>
        <v>57750.379946960005</v>
      </c>
      <c r="I25" s="66">
        <v>256.99</v>
      </c>
      <c r="J25" s="69">
        <f t="shared" si="6"/>
        <v>35978.6</v>
      </c>
      <c r="K25" s="69">
        <f t="shared" si="7"/>
        <v>46486.482512000002</v>
      </c>
      <c r="L25" s="46" t="s">
        <v>96</v>
      </c>
      <c r="M25" s="41">
        <v>0</v>
      </c>
      <c r="N25" s="47" t="s">
        <v>21</v>
      </c>
      <c r="O25" s="41">
        <v>0</v>
      </c>
      <c r="P25" s="41">
        <v>0</v>
      </c>
      <c r="Q25" s="47" t="s">
        <v>21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7" t="s">
        <v>21</v>
      </c>
      <c r="AA25" s="47">
        <v>0</v>
      </c>
      <c r="AB25" s="47">
        <v>0</v>
      </c>
      <c r="AC25" s="47">
        <v>0</v>
      </c>
      <c r="AD25" s="48">
        <v>28</v>
      </c>
      <c r="AE25" s="48">
        <v>150</v>
      </c>
      <c r="AF25" s="41">
        <v>50</v>
      </c>
      <c r="AG25" s="41">
        <v>97000</v>
      </c>
      <c r="AH25" s="41">
        <v>97000</v>
      </c>
      <c r="AI25" s="48">
        <v>9.9600000000000009</v>
      </c>
      <c r="AJ25" s="48">
        <v>2000</v>
      </c>
      <c r="AK25" s="48"/>
      <c r="AL25" s="48"/>
    </row>
    <row r="26" spans="1:38" ht="20.100000000000001" customHeight="1" x14ac:dyDescent="0.2">
      <c r="A26" s="42" t="s">
        <v>61</v>
      </c>
      <c r="B26" s="43">
        <v>10502.675751999999</v>
      </c>
      <c r="C26" s="43">
        <f t="shared" si="0"/>
        <v>13251.477999999999</v>
      </c>
      <c r="D26" s="43">
        <f t="shared" si="1"/>
        <v>21231.922000000002</v>
      </c>
      <c r="E26" s="43">
        <f t="shared" si="2"/>
        <v>1379.336</v>
      </c>
      <c r="F26" s="43">
        <f t="shared" si="3"/>
        <v>8206.677880104</v>
      </c>
      <c r="G26" s="43">
        <f t="shared" si="4"/>
        <v>1298.2315290560002</v>
      </c>
      <c r="H26" s="43">
        <f t="shared" si="5"/>
        <v>55870.321161160005</v>
      </c>
      <c r="I26" s="66">
        <v>246.31</v>
      </c>
      <c r="J26" s="69">
        <f t="shared" si="6"/>
        <v>34483.4</v>
      </c>
      <c r="K26" s="69">
        <f t="shared" si="7"/>
        <v>44986.075752000004</v>
      </c>
      <c r="L26" s="46" t="s">
        <v>96</v>
      </c>
      <c r="M26" s="41">
        <v>0</v>
      </c>
      <c r="N26" s="47" t="s">
        <v>21</v>
      </c>
      <c r="O26" s="41">
        <v>0</v>
      </c>
      <c r="P26" s="41">
        <v>0</v>
      </c>
      <c r="Q26" s="47" t="s">
        <v>21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7" t="s">
        <v>21</v>
      </c>
      <c r="AA26" s="47">
        <v>0</v>
      </c>
      <c r="AB26" s="47">
        <v>0</v>
      </c>
      <c r="AC26" s="47">
        <v>0</v>
      </c>
      <c r="AD26" s="48">
        <v>28</v>
      </c>
      <c r="AE26" s="48">
        <v>150</v>
      </c>
      <c r="AF26" s="41">
        <v>38</v>
      </c>
      <c r="AG26" s="41">
        <v>97000</v>
      </c>
      <c r="AH26" s="41">
        <v>97000</v>
      </c>
      <c r="AI26" s="48">
        <v>9.48</v>
      </c>
      <c r="AJ26" s="48">
        <v>2000</v>
      </c>
      <c r="AK26" s="48"/>
      <c r="AL26" s="48"/>
    </row>
  </sheetData>
  <autoFilter ref="B1:AL26" xr:uid="{83BA0D76-973B-4930-A625-3504DD12708D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单筒</vt:lpstr>
      <vt:lpstr>双筒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karry wang</dc:creator>
  <cp:lastModifiedBy>karry wang</cp:lastModifiedBy>
  <dcterms:created xsi:type="dcterms:W3CDTF">2025-09-26T14:32:35Z</dcterms:created>
  <dcterms:modified xsi:type="dcterms:W3CDTF">2025-12-27T05:07:23Z</dcterms:modified>
</cp:coreProperties>
</file>